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3_CODING\MathBattle\MathBattle-BE\docs\01_Design\"/>
    </mc:Choice>
  </mc:AlternateContent>
  <xr:revisionPtr revIDLastSave="0" documentId="13_ncr:1_{FCF51FF1-C0FD-430F-9DE5-0BE1412DBAFC}" xr6:coauthVersionLast="47" xr6:coauthVersionMax="47" xr10:uidLastSave="{00000000-0000-0000-0000-000000000000}"/>
  <bookViews>
    <workbookView xWindow="-28920" yWindow="-120" windowWidth="29040" windowHeight="15720" activeTab="2" xr2:uid="{00000000-000D-0000-FFFF-FFFF00000000}"/>
  </bookViews>
  <sheets>
    <sheet name="1. Roles" sheetId="13" r:id="rId1"/>
    <sheet name="2. Function Groups" sheetId="10" r:id="rId2"/>
    <sheet name="3. Functions" sheetId="11" r:id="rId3"/>
    <sheet name="4. Sub-Functions" sheetId="12" r:id="rId4"/>
    <sheet name="5. Matrix Role-Function" sheetId="16" r:id="rId5"/>
  </sheets>
  <definedNames>
    <definedName name="_xlnm._FilterDatabase" localSheetId="2" hidden="1">'3. Functions'!$A$1:$E$28</definedName>
    <definedName name="_xlnm._FilterDatabase" localSheetId="3" hidden="1">'4. Sub-Functions'!$A$1:$E$156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2" l="1"/>
  <c r="A29" i="12"/>
  <c r="A30" i="12"/>
  <c r="A31" i="12"/>
  <c r="A32" i="12"/>
  <c r="A33" i="12"/>
  <c r="A34" i="12"/>
  <c r="A35" i="12"/>
  <c r="A36" i="12"/>
  <c r="A7" i="11"/>
  <c r="A74" i="12"/>
  <c r="A75" i="12"/>
  <c r="A76" i="12"/>
  <c r="A77" i="12"/>
  <c r="A78" i="12"/>
  <c r="A79" i="12"/>
  <c r="A80" i="12"/>
  <c r="A81" i="12"/>
  <c r="A82" i="12"/>
  <c r="A83" i="12"/>
  <c r="A84" i="12"/>
  <c r="A85" i="12"/>
  <c r="A86" i="12"/>
  <c r="A87" i="12"/>
  <c r="A88" i="12"/>
  <c r="A89" i="12"/>
  <c r="A90" i="12"/>
  <c r="A91" i="12"/>
  <c r="A92" i="12"/>
  <c r="A93" i="12"/>
  <c r="A94" i="12"/>
  <c r="A95" i="12"/>
  <c r="A16" i="11"/>
  <c r="A17" i="11"/>
  <c r="A15" i="11"/>
  <c r="A18" i="11"/>
  <c r="A14" i="12"/>
  <c r="A15" i="12"/>
  <c r="A16" i="12"/>
  <c r="A17" i="12"/>
  <c r="A18" i="12"/>
  <c r="A19" i="12"/>
  <c r="A20" i="12"/>
  <c r="A21" i="12"/>
  <c r="A22" i="12"/>
  <c r="A23" i="12"/>
  <c r="A24" i="12"/>
  <c r="A25" i="12"/>
  <c r="A26" i="12"/>
  <c r="A27" i="12"/>
  <c r="A28" i="12"/>
  <c r="A96" i="12"/>
  <c r="A97" i="12"/>
  <c r="A98" i="12"/>
  <c r="A99" i="12"/>
  <c r="A100" i="12"/>
  <c r="A101" i="12"/>
  <c r="A102" i="12"/>
  <c r="A103" i="12"/>
  <c r="A104" i="12"/>
  <c r="A105" i="12"/>
  <c r="A106" i="12"/>
  <c r="A107" i="12"/>
  <c r="A2" i="12"/>
  <c r="A3" i="12"/>
  <c r="A4" i="12"/>
  <c r="A5" i="12"/>
  <c r="A6" i="12"/>
  <c r="A7" i="12"/>
  <c r="A8" i="12"/>
  <c r="A10" i="12"/>
  <c r="A11" i="12"/>
  <c r="A12" i="12"/>
  <c r="A37" i="12"/>
  <c r="A38" i="12"/>
  <c r="A39" i="12"/>
  <c r="A40" i="12"/>
  <c r="A41" i="12"/>
  <c r="A42" i="12"/>
  <c r="A43" i="12"/>
  <c r="A44" i="12"/>
  <c r="A45" i="12"/>
  <c r="A46" i="12"/>
  <c r="A47" i="12"/>
  <c r="A48" i="12"/>
  <c r="A49" i="12"/>
  <c r="A50" i="12"/>
  <c r="A51" i="12"/>
  <c r="A52" i="12"/>
  <c r="A53" i="12"/>
  <c r="A54" i="12"/>
  <c r="A55" i="12"/>
  <c r="A56" i="12"/>
  <c r="A57" i="12"/>
  <c r="A118" i="12"/>
  <c r="A119" i="12"/>
  <c r="A120" i="12"/>
  <c r="A121" i="12"/>
  <c r="A122" i="12"/>
  <c r="A123" i="12"/>
  <c r="A124" i="12"/>
  <c r="A125" i="12"/>
  <c r="A108" i="12"/>
  <c r="A109" i="12"/>
  <c r="A110" i="12"/>
  <c r="A111" i="12"/>
  <c r="A112" i="12"/>
  <c r="A113" i="12"/>
  <c r="A126" i="12"/>
  <c r="A127" i="12"/>
  <c r="A128" i="12"/>
  <c r="A129" i="12"/>
  <c r="A130" i="12"/>
  <c r="A131" i="12"/>
  <c r="A114" i="12"/>
  <c r="A115" i="12"/>
  <c r="A116" i="12"/>
  <c r="A117" i="12"/>
  <c r="A139" i="12"/>
  <c r="A140" i="12"/>
  <c r="A141" i="12"/>
  <c r="A142" i="12"/>
  <c r="A143" i="12"/>
  <c r="A144" i="12"/>
  <c r="A145" i="12"/>
  <c r="A146" i="12"/>
  <c r="A147" i="12"/>
  <c r="A148" i="12"/>
  <c r="A149" i="12"/>
  <c r="A150" i="12"/>
  <c r="A151" i="12"/>
  <c r="A152" i="12"/>
  <c r="A153" i="12"/>
  <c r="A154" i="12"/>
  <c r="A155" i="12"/>
  <c r="A156" i="12"/>
  <c r="A69" i="12"/>
  <c r="A70" i="12"/>
  <c r="A71" i="12"/>
  <c r="A72" i="12"/>
  <c r="A73" i="12"/>
  <c r="A58" i="12"/>
  <c r="A59" i="12"/>
  <c r="A60" i="12"/>
  <c r="A61" i="12"/>
  <c r="A62" i="12"/>
  <c r="A63" i="12"/>
  <c r="A64" i="12"/>
  <c r="A65" i="12"/>
  <c r="A132" i="12"/>
  <c r="A133" i="12"/>
  <c r="A134" i="12"/>
  <c r="A135" i="12"/>
  <c r="A136" i="12"/>
  <c r="A137" i="12"/>
  <c r="A138" i="12"/>
  <c r="A66" i="12"/>
  <c r="A67" i="12"/>
  <c r="A68" i="12"/>
  <c r="A13" i="12"/>
  <c r="A19" i="11"/>
  <c r="A8" i="11"/>
  <c r="A9" i="11"/>
  <c r="A10" i="11"/>
  <c r="A22" i="11"/>
  <c r="A20" i="11"/>
  <c r="A23" i="11"/>
  <c r="A21" i="11"/>
  <c r="A26" i="11"/>
  <c r="A27" i="11"/>
  <c r="A28" i="11"/>
  <c r="A14" i="11"/>
  <c r="A11" i="11"/>
  <c r="A12" i="11"/>
  <c r="A24" i="11"/>
  <c r="A25" i="11"/>
  <c r="A13" i="11"/>
  <c r="A3" i="11"/>
  <c r="A4" i="11"/>
  <c r="A5" i="11"/>
  <c r="A6" i="11"/>
  <c r="A2" i="11"/>
  <c r="E7" i="11" l="1"/>
  <c r="E28" i="11"/>
  <c r="E18" i="11"/>
  <c r="E25" i="11"/>
  <c r="E24" i="11"/>
  <c r="E17" i="11"/>
  <c r="E23" i="11"/>
  <c r="E16" i="11"/>
  <c r="E22" i="11"/>
  <c r="E15" i="11"/>
  <c r="E21" i="11"/>
  <c r="E20" i="11"/>
  <c r="E27" i="11"/>
  <c r="E19" i="11"/>
  <c r="E26" i="11"/>
  <c r="D3" i="10"/>
  <c r="E9" i="11"/>
  <c r="E11" i="11"/>
  <c r="E8" i="11"/>
  <c r="D10" i="10"/>
  <c r="E6" i="11"/>
  <c r="D9" i="10"/>
  <c r="D5" i="10"/>
  <c r="E14" i="11"/>
  <c r="E5" i="11"/>
  <c r="D8" i="10"/>
  <c r="E13" i="11"/>
  <c r="E4" i="11"/>
  <c r="D7" i="10"/>
  <c r="D2" i="10"/>
  <c r="E12" i="11"/>
  <c r="E3" i="11"/>
  <c r="D6" i="10"/>
  <c r="E2" i="11"/>
  <c r="E10" i="11"/>
  <c r="D12" i="10"/>
  <c r="D4" i="10"/>
  <c r="D11" i="10"/>
</calcChain>
</file>

<file path=xl/sharedStrings.xml><?xml version="1.0" encoding="utf-8"?>
<sst xmlns="http://schemas.openxmlformats.org/spreadsheetml/2006/main" count="1007" uniqueCount="627">
  <si>
    <t>Role ID</t>
  </si>
  <si>
    <t>Role Name</t>
  </si>
  <si>
    <t>Mô tả</t>
  </si>
  <si>
    <t>Guest</t>
  </si>
  <si>
    <t>Người dùng chưa đăng ký</t>
  </si>
  <si>
    <t>User (Free)</t>
  </si>
  <si>
    <t>Người dùng đã đăng ký, chưa trả phí</t>
  </si>
  <si>
    <t>User (Premium)</t>
  </si>
  <si>
    <t>Người dùng đã mua gói Premium</t>
  </si>
  <si>
    <t>Admin</t>
  </si>
  <si>
    <t>Quản trị viên hệ thống</t>
  </si>
  <si>
    <t>Nội bộ</t>
  </si>
  <si>
    <t>Content Editor</t>
  </si>
  <si>
    <t>Người tạo/duyệt nội dung</t>
  </si>
  <si>
    <t>Moderator</t>
  </si>
  <si>
    <t>Quản lý cộng đồng</t>
  </si>
  <si>
    <t>Function ID</t>
  </si>
  <si>
    <t>Description</t>
  </si>
  <si>
    <t>Daily Quiz</t>
  </si>
  <si>
    <t>Level Quiz</t>
  </si>
  <si>
    <t>Mini Game</t>
  </si>
  <si>
    <t>Battle</t>
  </si>
  <si>
    <t>Ranking</t>
  </si>
  <si>
    <t>User Registration / Login</t>
  </si>
  <si>
    <t>User Profile</t>
  </si>
  <si>
    <t>Avatar &amp; Frame Customization</t>
  </si>
  <si>
    <t>Wallet / Currency Manager</t>
  </si>
  <si>
    <t>Shop</t>
  </si>
  <si>
    <t>Friend System</t>
  </si>
  <si>
    <t>Challenge (PvP Custom)</t>
  </si>
  <si>
    <t>Seasonal Event</t>
  </si>
  <si>
    <t>Notification Center</t>
  </si>
  <si>
    <t>Question Management</t>
  </si>
  <si>
    <t>User Management</t>
  </si>
  <si>
    <t>Report &amp; Moderation</t>
  </si>
  <si>
    <t>Analytics Dashboard</t>
  </si>
  <si>
    <t>Phạm vi</t>
  </si>
  <si>
    <t>Cách kích hoạt</t>
  </si>
  <si>
    <t>Public</t>
  </si>
  <si>
    <t>Tự động (không cần tài khoản)</t>
  </si>
  <si>
    <t>Tự động khi đăng ký</t>
  </si>
  <si>
    <t>Cấp thủ công bởi hệ thống</t>
  </si>
  <si>
    <t>Kích hoạt qua IAP(In-App Purchase)</t>
  </si>
  <si>
    <t>App Settings</t>
  </si>
  <si>
    <t>Privacy Settings</t>
  </si>
  <si>
    <t>FAQ &amp; Help Center</t>
  </si>
  <si>
    <t>Contact Support</t>
  </si>
  <si>
    <t>Terms &amp; Policy</t>
  </si>
  <si>
    <t>Yes</t>
  </si>
  <si>
    <t>No</t>
  </si>
  <si>
    <t>Sub-Function ID</t>
  </si>
  <si>
    <t>Sub-Function Name</t>
  </si>
  <si>
    <t>MVP Scope</t>
  </si>
  <si>
    <t>Hệ thống tự động lấy 5 câu hỏi phù hợp với level người chơi (level question = level quiz +- 5)</t>
  </si>
  <si>
    <t>Hiển thị câu hỏi, nhận input trả lời từ user, tính đúng/sai</t>
  </si>
  <si>
    <t>User xem ads để hiện đáp án khi trả lời sai</t>
  </si>
  <si>
    <t>Hiển thị các level theo thứ tự từ dễ đến khó, trạng thái mở/khóa</t>
  </si>
  <si>
    <t>Hiển thị câu hỏi của level, nhận câu trả lời từ user</t>
  </si>
  <si>
    <t>Cộng EXP và cập nhật streak sau khi hoàn thành level</t>
  </si>
  <si>
    <t>Tự động mở level kế tiếp sau khi hoàn thành level hiện tại</t>
  </si>
  <si>
    <t>Kích hoạt mở Mini Game khi đạt đến level được định nghĩa sẵn</t>
  </si>
  <si>
    <t>User xem ads để hiện đáp án trong level</t>
  </si>
  <si>
    <t>Hiển thị tất cả mini game, trạng thái locked/unlocked</t>
  </si>
  <si>
    <t>Kiểm tra user đã đạt level yêu cầu chưa</t>
  </si>
  <si>
    <t>Vào chơi mini game đã được unlock (Sudoku, Line, Quick Calculation…)</t>
  </si>
  <si>
    <t>Một số mini game chỉ mở được khi có gói Premium</t>
  </si>
  <si>
    <t>Hệ thống tự ghép cặp 2 người chơi ngẫu nhiên có level tương đương</t>
  </si>
  <si>
    <t>Hệ thống random chọn 1 mini game hoặc quiz cho trận đấu</t>
  </si>
  <si>
    <t>2 người chơi cùng giải bài, tính thời gian hoàn thành</t>
  </si>
  <si>
    <t>So sánh thời gian, xác định người thắng</t>
  </si>
  <si>
    <t>Thắng: cộng EXP / Thua: trừ EXP</t>
  </si>
  <si>
    <t>Tự động cập nhật rank dựa theo EXP tích lũy</t>
  </si>
  <si>
    <t>User hết lượt battle, xem ads để nhận thêm lượt</t>
  </si>
  <si>
    <t>Hiển thị top người chơi toàn server theo EXP</t>
  </si>
  <si>
    <t>Lọc leaderboard theo quốc gia / khu vực</t>
  </si>
  <si>
    <t>Xếp hạng riêng theo chuỗi streak dài nhất</t>
  </si>
  <si>
    <t>Hiển thị rank hiện tại của user trong từng bảng</t>
  </si>
  <si>
    <t>Hệ thống tự động trao thưởng Coin/Gem cho Top server vào cuối tuần</t>
  </si>
  <si>
    <t>Tạo tài khoản mới bằng email + mật khẩu, gửi mail xác nhận</t>
  </si>
  <si>
    <t>Đăng nhập bằng email + mật khẩu đã đăng ký</t>
  </si>
  <si>
    <t>OAuth2 với Google account</t>
  </si>
  <si>
    <t>OAuth2 với Facebook account</t>
  </si>
  <si>
    <t>Sau đăng ký: nhập username, gán avatar mặc định, gán role Free</t>
  </si>
  <si>
    <t>Gửi link reset mật khẩu qua email</t>
  </si>
  <si>
    <t>Xóa session, đăng xuất khỏi thiết bị</t>
  </si>
  <si>
    <t>Hiển thị tổng EXP, streak hiện tại, rank, số level đã hoàn thành</t>
  </si>
  <si>
    <t>Hiển thị các huy hiệu đã đạt được</t>
  </si>
  <si>
    <t>Xem thông tin public của user khác khi click vào leaderboard</t>
  </si>
  <si>
    <t>Hiển thị số Coin hiện có của user</t>
  </si>
  <si>
    <t>Cộng Coin khi user nhận thưởng từ quiz, battle, streak…</t>
  </si>
  <si>
    <t>Trừ Coin khi user mua item, unlock game, đặt cược</t>
  </si>
  <si>
    <t>Hiển thị số Gem hiện có</t>
  </si>
  <si>
    <t>Xử lý thanh toán IAP qua App Store / Google Play</t>
  </si>
  <si>
    <t>Xem lịch sử cộng/trừ Coin và Gem</t>
  </si>
  <si>
    <t>Push notification nhắc user chơi Daily Quiz mỗi ngày</t>
  </si>
  <si>
    <t>Thông báo khi user chưa chơi và sắp qua ngày mới</t>
  </si>
  <si>
    <t>Thông báo bảo trì, cập nhật, sự kiện mới</t>
  </si>
  <si>
    <t>Nhận thông báo khi bạn bè gửi lời thách đấu</t>
  </si>
  <si>
    <t>Thêm câu hỏi mới với nội dung, đáp án, chủ đề, độ khó, level</t>
  </si>
  <si>
    <t>Chỉnh sửa nội dung câu hỏi đã có</t>
  </si>
  <si>
    <t>Xóa câu hỏi khỏi hệ thống</t>
  </si>
  <si>
    <t>Gán chủ đề, độ khó, level cho câu hỏi</t>
  </si>
  <si>
    <t>Upload file CSV/Excel để thêm nhiều câu hỏi cùng lúc</t>
  </si>
  <si>
    <t>Tìm kiếm câu hỏi theo chủ đề, độ khó, level</t>
  </si>
  <si>
    <t>Số người dùng hoạt động theo ngày / tháng</t>
  </si>
  <si>
    <t>Tỷ lệ user quay lại sau ngày 1, 7, 30</t>
  </si>
  <si>
    <t>Tổng doanh thu từ mua Gem, Premium, item</t>
  </si>
  <si>
    <t>Tỷ lệ xem ads, doanh thu từ ads</t>
  </si>
  <si>
    <t>Tỷ lệ user Free chuyển sang Premium</t>
  </si>
  <si>
    <t>Hiển thị Terms of Service</t>
  </si>
  <si>
    <t>Hiển thị Privacy Policy</t>
  </si>
  <si>
    <t>Hiển thị refund policy cho IAP</t>
  </si>
  <si>
    <t>Get Questions By Level</t>
  </si>
  <si>
    <t>Display &amp; Submit Answer</t>
  </si>
  <si>
    <t>Calculate EXP &amp; Update Streak</t>
  </si>
  <si>
    <t>Watch Ad to Double Reward</t>
  </si>
  <si>
    <t>Hiện popup sau khi hoàn thành quiz, user chọn xem ads để nhân đôi EXP/Coin</t>
  </si>
  <si>
    <t>Watch Ad to Reveal Answer</t>
  </si>
  <si>
    <t>Display Level List</t>
  </si>
  <si>
    <t>Play Level</t>
  </si>
  <si>
    <t>Unlock Next Level</t>
  </si>
  <si>
    <t>Unlock Mini Game At Milestone</t>
  </si>
  <si>
    <t>Display Mini Game List</t>
  </si>
  <si>
    <t>Check Unlock Condition</t>
  </si>
  <si>
    <t>Unlock Mini Game With Coin</t>
  </si>
  <si>
    <t>Play Mini Game</t>
  </si>
  <si>
    <t>Unlock Premium Mini Game</t>
  </si>
  <si>
    <t>Random Matchmaking</t>
  </si>
  <si>
    <t>Random Game Selection</t>
  </si>
  <si>
    <t>Play Real-time Battle</t>
  </si>
  <si>
    <t>Calculate Battle Result</t>
  </si>
  <si>
    <t>Update EXP After Battle</t>
  </si>
  <si>
    <t>Update Rank</t>
  </si>
  <si>
    <t>Watch Ad for Extra Battle Turn</t>
  </si>
  <si>
    <t>Global Leaderboard</t>
  </si>
  <si>
    <t>Regional Leaderboard</t>
  </si>
  <si>
    <t>Streak Leaderboard</t>
  </si>
  <si>
    <t>View Own Rank Position</t>
  </si>
  <si>
    <t>Weekly Top Reward Distribution</t>
  </si>
  <si>
    <t>Register With Email</t>
  </si>
  <si>
    <t>Login With Email</t>
  </si>
  <si>
    <t>Login With Google</t>
  </si>
  <si>
    <t>Login With Facebook</t>
  </si>
  <si>
    <t>Create Initial Profile</t>
  </si>
  <si>
    <t>Forgot Password</t>
  </si>
  <si>
    <t>Logout</t>
  </si>
  <si>
    <t>View Personal Statistics</t>
  </si>
  <si>
    <t>View Badges &amp; Achievements</t>
  </si>
  <si>
    <t>View Other User Profile</t>
  </si>
  <si>
    <t>Display Avatar Collection</t>
  </si>
  <si>
    <t>Hiển thị danh sách avatar có sẵn, trạng thái owned/locked</t>
  </si>
  <si>
    <t>Display Frame Collection</t>
  </si>
  <si>
    <t>Hiển thị danh sách khung avatar, trạng thái owned/locked</t>
  </si>
  <si>
    <t>Purchase Avatar With Coin</t>
  </si>
  <si>
    <t>Mua avatar bằng Coin in-game</t>
  </si>
  <si>
    <t>Purchase Avatar With Gem</t>
  </si>
  <si>
    <t>Mua avatar bằng Gem (real money)</t>
  </si>
  <si>
    <t>Purchase Frame With Coin</t>
  </si>
  <si>
    <t>Mua khung avatar bằng Coin in-game</t>
  </si>
  <si>
    <t>Purchase Frame With Gem</t>
  </si>
  <si>
    <t>Mua khung avatar bằng Gem (real money)</t>
  </si>
  <si>
    <t>Equip Avatar &amp; Frame</t>
  </si>
  <si>
    <t>Trang bị avatar/frame đã sở hữu vào profile</t>
  </si>
  <si>
    <t>Nickname Effect</t>
  </si>
  <si>
    <t>Thêm hiệu ứng đặc biệt cho tên hiển thị</t>
  </si>
  <si>
    <t>Display Coin Balance</t>
  </si>
  <si>
    <t>Add Coin</t>
  </si>
  <si>
    <t>Deduct Coin</t>
  </si>
  <si>
    <t>Display Gem Balance</t>
  </si>
  <si>
    <t>Purchase Gem via IAP</t>
  </si>
  <si>
    <t>Transaction History</t>
  </si>
  <si>
    <t>Display Shop Items</t>
  </si>
  <si>
    <t>Hiển thị toàn bộ item trong shop theo danh mục</t>
  </si>
  <si>
    <t>Purchase Hint Pack</t>
  </si>
  <si>
    <t>Mua thêm lượt hint bằng Coin hoặc Gem</t>
  </si>
  <si>
    <t>Purchase Skip Level</t>
  </si>
  <si>
    <t>Mua lượt bỏ qua level bằng Gem</t>
  </si>
  <si>
    <t>Purchase Coin Bundle</t>
  </si>
  <si>
    <t>Mua thêm Coin bằng Gem hoặc tiền thật</t>
  </si>
  <si>
    <t>Purchase Premium Package</t>
  </si>
  <si>
    <t>Mua gói Premium qua IAP, nâng role lên R_03</t>
  </si>
  <si>
    <t>Purchase Avatar &amp; Frame</t>
  </si>
  <si>
    <t>Mua avatar/frame từ shop</t>
  </si>
  <si>
    <t>Apply Purchased Item</t>
  </si>
  <si>
    <t>Tự động áp dụng item vào tài khoản sau khi mua thành công</t>
  </si>
  <si>
    <t>Search User</t>
  </si>
  <si>
    <t>Tìm kiếm user khác theo username</t>
  </si>
  <si>
    <t>Send Friend Request</t>
  </si>
  <si>
    <t>Gửi lời mời kết bạn đến user khác</t>
  </si>
  <si>
    <t>Accept / Decline Friend Request</t>
  </si>
  <si>
    <t>Chấp nhận hoặc từ chối lời mời kết bạn</t>
  </si>
  <si>
    <t>View Friend List</t>
  </si>
  <si>
    <t>Xem danh sách bạn bè hiện tại</t>
  </si>
  <si>
    <t>View Friend Profile</t>
  </si>
  <si>
    <t>Xem th��ng tin profile, rank, streak của bạn bè</t>
  </si>
  <si>
    <t>Compare Rank &amp; Streak</t>
  </si>
  <si>
    <t>So sánh rank và streak giữa bản thân và bạn bè</t>
  </si>
  <si>
    <t>Remove Friend</t>
  </si>
  <si>
    <t>Xóa bạn bè khỏi danh sách</t>
  </si>
  <si>
    <t>Send Battle Invitation</t>
  </si>
  <si>
    <t>Gửi lời mời thách đấu vào Battle từ danh sách bạn bè</t>
  </si>
  <si>
    <t>Send Challenge Invitation</t>
  </si>
  <si>
    <t>Gửi lời thách đấu 1v1 đến bạn bè</t>
  </si>
  <si>
    <t>Accept / Decline Challenge</t>
  </si>
  <si>
    <t>Bạn bè chấp nhận hoặc từ chối lời thách đấu</t>
  </si>
  <si>
    <t>Select Game Type</t>
  </si>
  <si>
    <t>Người thách đấu chọn loại game cho trận đấu</t>
  </si>
  <si>
    <t>Set Coin Wager</t>
  </si>
  <si>
    <t>Đặt số Coin cược cho trận đấu</t>
  </si>
  <si>
    <t>Play Challenge Battle</t>
  </si>
  <si>
    <t>2 người chơi thi đấu real-time</t>
  </si>
  <si>
    <t>Transfer Coin After Result</t>
  </si>
  <si>
    <t>Tự động chuyển Coin từ người thua sang người thắng</t>
  </si>
  <si>
    <t>Display Active Event</t>
  </si>
  <si>
    <t>Hiển thị sự kiện đang diễn ra với thông tin chi tiết</t>
  </si>
  <si>
    <t>Play Event Quiz</t>
  </si>
  <si>
    <t>Chơi quiz chủ đề theo sự kiện (Tết, Halloween…)</t>
  </si>
  <si>
    <t>Play Event Mini Game</t>
  </si>
  <si>
    <t>Chơi mini game đặc biệt chỉ có trong sự kiện</t>
  </si>
  <si>
    <t>Event Leaderboard</t>
  </si>
  <si>
    <t>Bảng xếp hạng riêng trong thời gian sự kiện</t>
  </si>
  <si>
    <t>Receive Event Reward</t>
  </si>
  <si>
    <t>Nhận phần thưởng giới hạn khi đạt điều kiện sự kiện</t>
  </si>
  <si>
    <t>Purchase Event Exclusive Item</t>
  </si>
  <si>
    <t>Mua item giới hạn của sự kiện bằng Gem</t>
  </si>
  <si>
    <t>Daily Quiz Reminder</t>
  </si>
  <si>
    <t>Streak Loss Warning</t>
  </si>
  <si>
    <t>System Notification</t>
  </si>
  <si>
    <t>Friend Challenge Notification</t>
  </si>
  <si>
    <t>Create Question</t>
  </si>
  <si>
    <t>Edit Question</t>
  </si>
  <si>
    <t>Delete Question</t>
  </si>
  <si>
    <t>Categorize Question</t>
  </si>
  <si>
    <t>Bulk Import Questions</t>
  </si>
  <si>
    <t>Search &amp; Filter Questions</t>
  </si>
  <si>
    <t>View User List</t>
  </si>
  <si>
    <t>Xem danh sách toàn bộ user, lọc theo role/trạng thái</t>
  </si>
  <si>
    <t>View User Detail</t>
  </si>
  <si>
    <t>Xem chi tiết thông tin 1 user: lịch sử chơi, vi phạm, giao dịch</t>
  </si>
  <si>
    <t>Ban User</t>
  </si>
  <si>
    <t>Khóa tài khoản user vi phạm tạm thời hoặc vĩnh viễn</t>
  </si>
  <si>
    <t>Unban User</t>
  </si>
  <si>
    <t>Mở khóa tài khoản user đã bị ban</t>
  </si>
  <si>
    <t>Reset User Streak</t>
  </si>
  <si>
    <t>Reset streak của user về 0 khi cần thiết</t>
  </si>
  <si>
    <t>Grant Coin / Gem to User</t>
  </si>
  <si>
    <t>Tặng Coin hoặc Gem cho user thủ công</t>
  </si>
  <si>
    <t>Receive Report</t>
  </si>
  <si>
    <t>Nhận báo cáo từ user về câu hỏi sai hoặc hành vi gian lận</t>
  </si>
  <si>
    <t>View Report List</t>
  </si>
  <si>
    <t>Xem danh sách báo cáo, lọc theo loại/trạng thái</t>
  </si>
  <si>
    <t>Review Report Detail</t>
  </si>
  <si>
    <t>Xem xét nội dung báo cáo chi tiết</t>
  </si>
  <si>
    <t>Resolve Report</t>
  </si>
  <si>
    <t>Xử lý báo cáo: chấp nhận hoặc từ chối</t>
  </si>
  <si>
    <t>Take Action On Violator</t>
  </si>
  <si>
    <t>Thực thi hành động với người vi phạm (cảnh cáo/ban)</t>
  </si>
  <si>
    <t>Close Invalid Report</t>
  </si>
  <si>
    <t>Đóng báo cáo không hợp lệ hoặc trùng lặp</t>
  </si>
  <si>
    <t>DAU / MAU Statistics</t>
  </si>
  <si>
    <t>Retention Statistics</t>
  </si>
  <si>
    <t>IAP Revenue Statistics</t>
  </si>
  <si>
    <t>Ad Revenue Statistics</t>
  </si>
  <si>
    <t>Premium Conversion Funnel</t>
  </si>
  <si>
    <t>Sound &amp; Music Settings</t>
  </si>
  <si>
    <t>Bật/tắt âm thanh, điều chỉnh âm lượng nhạc nền</t>
  </si>
  <si>
    <t>Dark / Light Mode</t>
  </si>
  <si>
    <t>Chuyển đổi giao diện tối/sáng</t>
  </si>
  <si>
    <t>Language Settings</t>
  </si>
  <si>
    <t>Chọn ngôn ngữ hiển thị của app</t>
  </si>
  <si>
    <t>Notification Preferences</t>
  </si>
  <si>
    <t>Bật/tắt từng loại thông báo riêng lẻ</t>
  </si>
  <si>
    <t>Toggle Profile Visibility</t>
  </si>
  <si>
    <t>Ẩn/hiện profile với người lạ</t>
  </si>
  <si>
    <t>Toggle Rank Visibility</t>
  </si>
  <si>
    <t>Ẩn/hiện rank trên leaderboard</t>
  </si>
  <si>
    <t>Block User</t>
  </si>
  <si>
    <t>Chặn người dùng không mong muốn</t>
  </si>
  <si>
    <t>Manage Linked Accounts</t>
  </si>
  <si>
    <t>Quản lý tài khoản liên kết Google/Facebook</t>
  </si>
  <si>
    <t>View FAQ List</t>
  </si>
  <si>
    <t>Hiển thị danh sách câu hỏi thường gặp theo danh mục</t>
  </si>
  <si>
    <t>View FAQ Detail</t>
  </si>
  <si>
    <t>Xem nội dung chi tiết từng câu hỏi/câu trả lời</t>
  </si>
  <si>
    <t>Search FAQ</t>
  </si>
  <si>
    <t>Tìm kiếm câu hỏi trong FAQ theo từ khóa</t>
  </si>
  <si>
    <t>View Feature Guide</t>
  </si>
  <si>
    <t>Hướng dẫn sử dụng từng tính năng của app</t>
  </si>
  <si>
    <t>Submit Support Request</t>
  </si>
  <si>
    <t>Gửi yêu cầu hỗ trợ qua email/chat</t>
  </si>
  <si>
    <t>Report Technical Bug</t>
  </si>
  <si>
    <t>Báo lỗi kỹ thuật kèm ảnh chụp màn hình</t>
  </si>
  <si>
    <t>Track Support Ticket Status</t>
  </si>
  <si>
    <t>Theo dõi trạng thái xử lý ticket hỗ trợ</t>
  </si>
  <si>
    <t>Terms of Service</t>
  </si>
  <si>
    <t>Privacy Policy</t>
  </si>
  <si>
    <t>Refund Policy</t>
  </si>
  <si>
    <t>Mở khóa mini game đã đạt điều kiện level</t>
  </si>
  <si>
    <t>Core Gameplay</t>
  </si>
  <si>
    <t>Function group ID</t>
  </si>
  <si>
    <t>Function group name</t>
  </si>
  <si>
    <t>Function group</t>
  </si>
  <si>
    <t>Quản lý toàn bộ vòng đời tài khoản người dùng từ lúc đăng ký đến khi xóa tài khoản. Hỗ trợ đăng nhập nhanh qua Google, Facebook, Apple ID giúp giảm rào cản onboarding. Đảm bảo bảo mật thông tin cá nhân, cho phép người chơi quản lý hồ sơ, avatar, đổi mật khẩu và liên kết nhiều nền tảng vào cùng một tài khoản.</t>
  </si>
  <si>
    <t>Là trái tim của toàn bộ ứng dụng, chịu trách nhiệm xử lý logic game, vòng lặp chơi (game loop), hệ thống màn chơi và điều khiển người dùng. Đảm bảo trải nghiệm mượt mà với cơ chế lưu tiến trình tự động (auto-save), đồng bộ dữ liệu lên cloud để người chơi không mất dữ liệu khi đổi thiết bị.</t>
  </si>
  <si>
    <t>Quản lý toàn bộ hệ thống kinh tế trong game bao gồm tiền tệ ảo (Coin, Gem), cửa hàng vật phẩm và các gói nạp tiền thực. Mọi giao dịch đều được xác thực phía server để chống gian lận. Cung cấp lịch sử giao dịch minh bạch và cơ chế xử lý hoàn tiền khi có sự cố, đây là nguồn doanh thu chính của game.</t>
  </si>
  <si>
    <t>Cho phép người chơi cá nhân hóa trải nghiệm theo sở thích như điều chỉnh âm lượng, chất lượng đồ họa, ngôn ngữ hiển thị. Đây là nhóm chức năng bắt buộc theo chính sách của Apple App Store và Google Play Store, bao gồm trang Điều khoản sử dụng và Chính sách bảo mật phải hiển thị rõ ràng trong app.</t>
  </si>
  <si>
    <t>Thu thập và phân tích dữ liệu hành vi người chơi để đưa ra quyết định cải thiện game dựa trên số liệu thực tế. Theo dõi tỉ lệ giữ chân (Retention D1/D7/D30), phân tích phễu onboarding, đo lường doanh thu (ARPU, LTV) và tự động báo cáo lỗi crash. Hỗ trợ A/B Testing để thử nghiệm tính năng mới trước khi triển khai toàn bộ.</t>
  </si>
  <si>
    <t>Hệ thống tạo động lực dài hạn giúp người chơi luôn có mục tiêu để hướng đến. Bao gồm hệ thống EXP/lên cấp, thành tích (achievements), nhiệm vụ hàng ngày/tuần và phần thưởng đăng nhập liên tiếp. Battle Pass hoặc Season Pass tạo ra chu kỳ nội dung định kỳ, khuyến khích người chơi quay lại đều đặn và chi tiêu trong game.</t>
  </si>
  <si>
    <t>Tạo môi trường cạnh tranh lành mạnh giúp tăng độ gắn kết và thời gian chơi. Bảng xếp hạng toàn cầu, khu vực và bạn bè tạo ra áp lực xã hội tích cực. Hệ thống Matchmaking theo kỹ năng (ELO/MMR) đảm bảo trận đấu công bằng. Tournament định kỳ tạo sự kiện đặc biệt thu hút người chơi cạnh tranh và mời bạn bè tham gia.</t>
  </si>
  <si>
    <t>Cầu nối chủ động giữa game và người chơi khi họ không mở app. Push Notification nhắc nhở người chơi về năng lượng đã hồi phục, sự kiện sắp kết thúc, ưu đãi giới hạn thời gian hoặc bạn bè đang online. Cần cho phép người chơi tùy chỉnh loại thông báo muốn nhận để tránh gây khó chịu và bị tắt thông báo.</t>
  </si>
  <si>
    <t>Xây dựng mạng lưới xã hội trong game giúp tăng tính viral và giữ chân người chơi thông qua các mối quan hệ. Hệ thống bạn bè, Guild/Clan tạo cảm giác thuộc về cộng đồng. Chat trong game và tính năng gửi quà tăng tương tác. Referral system khuyến khích người chơi mời bạn bè, giúp tăng trưởng người dùng mới với chi phí thấp.</t>
  </si>
  <si>
    <t>Authentication &amp; Account</t>
  </si>
  <si>
    <t>Economy &amp; IAP</t>
  </si>
  <si>
    <t>Settings &amp; Configuration</t>
  </si>
  <si>
    <t>Analytics &amp; Tracking</t>
  </si>
  <si>
    <t>Progression &amp; Reward</t>
  </si>
  <si>
    <t>Leaderboard &amp; PvP</t>
  </si>
  <si>
    <t>Notification &amp; Engagement</t>
  </si>
  <si>
    <t>Social &amp; Community</t>
  </si>
  <si>
    <t>Support &amp; Feedback</t>
  </si>
  <si>
    <t>Bộ công cụ quản trị hệ thống dành riêng cho admin, cho phép kiểm soát toàn bộ nội dung và người dùng trong game. Admin có thể quản lý kho câu hỏi, theo dõi và xử lý tài khoản vi phạm, tiếp nhận và giải quyết báo cáo từ người chơi. Đây là nhóm chức năng vận hành back-end cốt lõi, đảm bảo chất lượng nội dung luôn ổn định, môi trường chơi game công bằng và hệ thống được kiểm soát chặt chẽ trước khi ra mắt.</t>
  </si>
  <si>
    <t>Hệ thống hỗ trợ người chơi khi gặp sự cố, cung cấp hai tầng hỗ trợ gồm tự phục vụ (FAQ, Help Center) và liên hệ trực tiếp (ticket, email, chat). Người chơi có thể tự tra cứu hướng dẫn, tìm kiếm câu trả lời theo từ khóa hoặc gửi báo lỗi kèm ảnh chụp màn hình và theo dõi tr��ng thái xử lý. Nhóm chức năng này đóng vai trò giữ chân người chơi trong các tình huống nghiêm trọng như mất dữ liệu, lỗi thanh toán hoặc bị khóa tài khoản oan, tránh để người chơi rời bỏ game vì trải nghiệm xấu không được giải quyết.</t>
  </si>
  <si>
    <t>Admin &amp; CMS</t>
  </si>
  <si>
    <t>Function name</t>
  </si>
  <si>
    <t>Number of Sub-function</t>
  </si>
  <si>
    <t>G01</t>
  </si>
  <si>
    <t>G02</t>
  </si>
  <si>
    <t>G03</t>
  </si>
  <si>
    <t>G04</t>
  </si>
  <si>
    <t>G05</t>
  </si>
  <si>
    <t>G06</t>
  </si>
  <si>
    <t>G07</t>
  </si>
  <si>
    <t>G08</t>
  </si>
  <si>
    <t>G09</t>
  </si>
  <si>
    <t>G10</t>
  </si>
  <si>
    <t>G11</t>
  </si>
  <si>
    <t>G01_F01</t>
  </si>
  <si>
    <t>G01_F02</t>
  </si>
  <si>
    <t>G02_F01</t>
  </si>
  <si>
    <t>G02_F02</t>
  </si>
  <si>
    <t>G02_F03</t>
  </si>
  <si>
    <t>Number of Functions</t>
  </si>
  <si>
    <t>G07_F01</t>
  </si>
  <si>
    <t>G07_F02</t>
  </si>
  <si>
    <t>G03_F01</t>
  </si>
  <si>
    <t>G03_F02</t>
  </si>
  <si>
    <t>G03_F03</t>
  </si>
  <si>
    <t>G09_F01</t>
  </si>
  <si>
    <t>G07_F03</t>
  </si>
  <si>
    <t>G09_F02</t>
  </si>
  <si>
    <t>G10_F01</t>
  </si>
  <si>
    <t>G08_F01</t>
  </si>
  <si>
    <t>G11_F01</t>
  </si>
  <si>
    <t>G11_F02</t>
  </si>
  <si>
    <t>G11_F03</t>
  </si>
  <si>
    <t>G05_F01</t>
  </si>
  <si>
    <t>G04_F01</t>
  </si>
  <si>
    <t>G04_F02</t>
  </si>
  <si>
    <t>G04_F03</t>
  </si>
  <si>
    <t>G10_F02</t>
  </si>
  <si>
    <t>R01</t>
  </si>
  <si>
    <t>R02</t>
  </si>
  <si>
    <t>R03</t>
  </si>
  <si>
    <t>R04</t>
  </si>
  <si>
    <t>R05</t>
  </si>
  <si>
    <t>R06</t>
  </si>
  <si>
    <t>G02_F01_SF01</t>
  </si>
  <si>
    <t>G02_F01_SF02</t>
  </si>
  <si>
    <t>G02_F01_SF03</t>
  </si>
  <si>
    <t>G02_F01_SF04</t>
  </si>
  <si>
    <t>G02_F01_SF05</t>
  </si>
  <si>
    <t>G02_F02_SF01</t>
  </si>
  <si>
    <t>G02_F02_SF02</t>
  </si>
  <si>
    <t>G02_F02_SF03</t>
  </si>
  <si>
    <t>G02_F02_SF04</t>
  </si>
  <si>
    <t>G02_F02_SF05</t>
  </si>
  <si>
    <t>G02_F02_SF06</t>
  </si>
  <si>
    <t>G02_F03_SF01</t>
  </si>
  <si>
    <t>G02_F03_SF02</t>
  </si>
  <si>
    <t>G02_F03_SF03</t>
  </si>
  <si>
    <t>G02_F03_SF04</t>
  </si>
  <si>
    <t>G02_F03_SF05</t>
  </si>
  <si>
    <t>G07_F01_SF01</t>
  </si>
  <si>
    <t>G07_F01_SF02</t>
  </si>
  <si>
    <t>G07_F01_SF03</t>
  </si>
  <si>
    <t>G07_F01_SF04</t>
  </si>
  <si>
    <t>G07_F01_SF05</t>
  </si>
  <si>
    <t>G07_F01_SF06</t>
  </si>
  <si>
    <t>G07_F01_SF07</t>
  </si>
  <si>
    <t>G07_F02_SF01</t>
  </si>
  <si>
    <t>G07_F02_SF02</t>
  </si>
  <si>
    <t>G07_F02_SF03</t>
  </si>
  <si>
    <t>G07_F02_SF04</t>
  </si>
  <si>
    <t>G07_F02_SF05</t>
  </si>
  <si>
    <t>G01_F01_SF01</t>
  </si>
  <si>
    <t>G01_F01_SF02</t>
  </si>
  <si>
    <t>G01_F01_SF03</t>
  </si>
  <si>
    <t>G01_F01_SF04</t>
  </si>
  <si>
    <t>G01_F01_SF05</t>
  </si>
  <si>
    <t>G01_F01_SF06</t>
  </si>
  <si>
    <t>G01_F01_SF07</t>
  </si>
  <si>
    <t>G01_F02_SF01</t>
  </si>
  <si>
    <t>G01_F02_SF02</t>
  </si>
  <si>
    <t>G01_F02_SF03</t>
  </si>
  <si>
    <t>G01_F02_SF04</t>
  </si>
  <si>
    <t>G03_F01_SF01</t>
  </si>
  <si>
    <t>G03_F01_SF02</t>
  </si>
  <si>
    <t>G03_F01_SF03</t>
  </si>
  <si>
    <t>G03_F01_SF04</t>
  </si>
  <si>
    <t>G03_F01_SF05</t>
  </si>
  <si>
    <t>G03_F01_SF06</t>
  </si>
  <si>
    <t>G03_F01_SF07</t>
  </si>
  <si>
    <t>G03_F01_SF08</t>
  </si>
  <si>
    <t>G03_F02_SF01</t>
  </si>
  <si>
    <t>G03_F02_SF02</t>
  </si>
  <si>
    <t>G03_F02_SF03</t>
  </si>
  <si>
    <t>G03_F02_SF04</t>
  </si>
  <si>
    <t>G03_F02_SF05</t>
  </si>
  <si>
    <t>G03_F02_SF06</t>
  </si>
  <si>
    <t>G03_F03_SF01</t>
  </si>
  <si>
    <t>G03_F03_SF02</t>
  </si>
  <si>
    <t>G03_F03_SF03</t>
  </si>
  <si>
    <t>G03_F03_SF04</t>
  </si>
  <si>
    <t>G03_F03_SF05</t>
  </si>
  <si>
    <t>G03_F03_SF06</t>
  </si>
  <si>
    <t>G03_F03_SF07</t>
  </si>
  <si>
    <t>G09_F01_SF01</t>
  </si>
  <si>
    <t>G09_F01_SF02</t>
  </si>
  <si>
    <t>G09_F01_SF03</t>
  </si>
  <si>
    <t>G09_F01_SF04</t>
  </si>
  <si>
    <t>G09_F01_SF05</t>
  </si>
  <si>
    <t>G09_F01_SF06</t>
  </si>
  <si>
    <t>G09_F01_SF07</t>
  </si>
  <si>
    <t>G09_F01_SF08</t>
  </si>
  <si>
    <t>G07_F03_SF01</t>
  </si>
  <si>
    <t>G07_F03_SF02</t>
  </si>
  <si>
    <t>G07_F03_SF03</t>
  </si>
  <si>
    <t>G07_F03_SF04</t>
  </si>
  <si>
    <t>G07_F03_SF05</t>
  </si>
  <si>
    <t>G07_F03_SF06</t>
  </si>
  <si>
    <t>G09_F02_SF01</t>
  </si>
  <si>
    <t>G09_F02_SF02</t>
  </si>
  <si>
    <t>G09_F02_SF03</t>
  </si>
  <si>
    <t>G09_F02_SF04</t>
  </si>
  <si>
    <t>G09_F02_SF05</t>
  </si>
  <si>
    <t>G09_F02_SF06</t>
  </si>
  <si>
    <t>G08_F01_SF01</t>
  </si>
  <si>
    <t>G08_F01_SF02</t>
  </si>
  <si>
    <t>G08_F01_SF03</t>
  </si>
  <si>
    <t>G08_F01_SF04</t>
  </si>
  <si>
    <t>G11_F01_SF01</t>
  </si>
  <si>
    <t>G11_F01_SF02</t>
  </si>
  <si>
    <t>G11_F01_SF03</t>
  </si>
  <si>
    <t>G11_F01_SF04</t>
  </si>
  <si>
    <t>G11_F01_SF05</t>
  </si>
  <si>
    <t>G11_F01_SF06</t>
  </si>
  <si>
    <t>G11_F02_SF01</t>
  </si>
  <si>
    <t>G11_F02_SF02</t>
  </si>
  <si>
    <t>G11_F02_SF03</t>
  </si>
  <si>
    <t>G11_F02_SF04</t>
  </si>
  <si>
    <t>G11_F02_SF05</t>
  </si>
  <si>
    <t>G11_F02_SF06</t>
  </si>
  <si>
    <t>G11_F03_SF01</t>
  </si>
  <si>
    <t>G11_F03_SF02</t>
  </si>
  <si>
    <t>G11_F03_SF03</t>
  </si>
  <si>
    <t>G11_F03_SF04</t>
  </si>
  <si>
    <t>G11_F03_SF05</t>
  </si>
  <si>
    <t>G11_F03_SF06</t>
  </si>
  <si>
    <t>G05_F01_SF01</t>
  </si>
  <si>
    <t>G05_F01_SF02</t>
  </si>
  <si>
    <t>G05_F01_SF03</t>
  </si>
  <si>
    <t>G05_F01_SF04</t>
  </si>
  <si>
    <t>G05_F01_SF05</t>
  </si>
  <si>
    <t>G04_F01_SF01</t>
  </si>
  <si>
    <t>G04_F01_SF02</t>
  </si>
  <si>
    <t>G04_F01_SF03</t>
  </si>
  <si>
    <t>G04_F01_SF04</t>
  </si>
  <si>
    <t>G04_F02_SF01</t>
  </si>
  <si>
    <t>G04_F02_SF02</t>
  </si>
  <si>
    <t>G04_F02_SF03</t>
  </si>
  <si>
    <t>G04_F02_SF04</t>
  </si>
  <si>
    <t>G10_F01_SF01</t>
  </si>
  <si>
    <t>G10_F01_SF02</t>
  </si>
  <si>
    <t>G10_F01_SF03</t>
  </si>
  <si>
    <t>G10_F01_SF04</t>
  </si>
  <si>
    <t>G10_F02_SF01</t>
  </si>
  <si>
    <t>G10_F02_SF02</t>
  </si>
  <si>
    <t>G10_F02_SF03</t>
  </si>
  <si>
    <t>G04_F03_SF01</t>
  </si>
  <si>
    <t>G04_F03_SF02</t>
  </si>
  <si>
    <t>G04_F03_SF03</t>
  </si>
  <si>
    <t>G06_F01</t>
  </si>
  <si>
    <t>Cho phép người dùng tạo tài khoản và đăng nhập vào hệ thống bằng email/mật khẩu hoặc các phương thức đăng nhập nhanh (SSO). Quản lý phiên đăng nhập (session), xác thực, quên mật khẩu và đăng xuất để đảm bảo an toàn và tiện lợi khi sử dụng.</t>
  </si>
  <si>
    <t>Cung cấp trang hồ sơ người dùng hiển thị thông tin cá nhân và các chỉ số chơi game (EXP, streak, rank, lịch sử chơi, huy hiệu). Cho phép người dùng xem/điều chỉnh một số thông tin hiển thị theo quyền và thiết lập riêng tư.</t>
  </si>
  <si>
    <t>Quản lý các loại tiền tệ trong game (Coin/Gem/Token…), bao gồm hiển thị số dư, cộng/trừ theo giao dịch, đối soát và lưu lịch sử biến động. Là lớp nền dùng chung cho shop, phần thưởng, mở khóa, và các hoạt động tiêu hao/nhận currency.</t>
  </si>
  <si>
    <t>Cửa hàng trong game hiển thị danh mục item/gói bán và xử lý luồng mua hàng (bằng Coin/Gem/IAP). Tự động cấp item sau mua, quản lý gói Premium, gói hint/skip, bundle currency và các vật phẩm cosmetic; đảm bảo kiểm tra hợp lệ và xử lý lỗi giao dịch.</t>
  </si>
  <si>
    <t>Cài đặt trải nghiệm ứng dụng như âm thanh/nhạc, giao diện tối/sáng, ngôn ngữ, và các tuỳ chọn chung khác. Lưu cấu hình theo thiết bị hoặc theo tài khoản, đảm bảo áp dụng xuyên suốt các màn hình và phiên chơi.</t>
  </si>
  <si>
    <t>Thiết lập quyền riêng tư cho người dùng: ẩn/hiện profile, ẩn/hiện rank, chặn người dùng khác và quản lý tài khoản liên kết. Quy định mức độ hiển thị thông tin trên leaderboard, trang cá nhân và các tính năng xã hội.</t>
  </si>
  <si>
    <t>Cung cấp trang hiển thị các tài liệu pháp lý bắt buộc như Terms of Service, Privacy Policy, Refund Policy. Đảm bảo truy cập được từ trong app, hỗ trợ cập nhật nội dung theo phiên bản và tuân thủ yêu cầu store.</t>
  </si>
  <si>
    <t>Chế độ thi đấu giữa người chơi (real-time hoặc gần real-time), gồm ghép trận, chọn nội dung thi đấu, ghi nhận thời gian/điểm và xác định thắng thua. Cập nhật EXP/rank theo kết quả và quản lý các giới hạn như lượt chơi, quảng cáo nhận thêm lượt (nếu áp dụng).</t>
  </si>
  <si>
    <t>Hệ thống bảng xếp hạng theo nhiều tiêu chí (global/regional/streak…), hiển thị vị trí của người chơi, lọc/sắp xếp và (tuỳ chọn) phân phối phần thưởng định kỳ cho top người chơi. Đảm bảo hiệu năng truy vấn và tính công bằng của dữ liệu xếp hạng.</t>
  </si>
  <si>
    <t>Chế độ thách đấu 1v1 theo lời mời giữa bạn bè, cho phép chọn loại game và (tuỳ chọn) đặt cược Coin. Quản lý vòng đời lời mời (gửi/nhận/chấp nhận/từ chối), phiên thi đấu, và xử lý chuyển thưởng/cược sau kết quả.</t>
  </si>
  <si>
    <t>Tính năng bạn bè: tìm kiếm người dùng, gửi/nhận lời mời kết bạn, quản lý danh sách bạn, xem hồ sơ bạn bè và so sánh chỉ số (rank/streak). Là nền tảng cho các tương tác xã hội như mời thách đấu hoặc chia sẻ thành tích.</t>
  </si>
  <si>
    <t>Hệ thống sự kiện theo mùa/chủ đề với nội dung giới hạn thời gian: hiển thị sự kiện, chế độ chơi theo sự kiện, leaderboard riêng và phần thưởng giới hạn. Cho phép vận hành thay đổi nội dung theo lịch và theo chiến dịch engagement/monetization.</t>
  </si>
  <si>
    <t>Kho hướng dẫn và câu hỏi thường gặp trong app, phân loại theo chủ đề và hỗ trợ tìm kiếm. Giúp người chơi tự giải quyết vấn đề phổ biến, giảm tải cho kênh hỗ trợ và cải thiện trải nghiệm onboarding.</t>
  </si>
  <si>
    <t>Kênh liên hệ hỗ trợ (ticket/email/chat) cho các vấn đề không tự giải quyết được, cho phép gửi mô tả lỗi kèm bằng chứng (ảnh/log) và theo dõi trạng thái xử lý. Hỗ trợ quy trình CSKH cho lỗi kỹ thuật, tài khoản và giao dịch.</t>
  </si>
  <si>
    <t>Công cụ quản trị nội dung câu hỏi: tạo/sửa/xóa, phân loại (topic/difficulty/level), import hàng loạt và tìm kiếm/lọc. Đảm bảo chất lượng kho câu hỏi và hỗ trợ quy trình duyệt nội dung trước khi đưa vào game.</t>
  </si>
  <si>
    <t>Công cụ quản trị người dùng: xem danh sách/chi tiết, quản lý trạng thái (ban/unban), can thiệp vận hành (reset streak, grant currency theo quyền), và truy vết hoạt động khi có khiếu nại. Hỗ trợ vận hành và đảm bảo môi trường công bằng.</t>
  </si>
  <si>
    <t>Reward &amp; Progression System</t>
  </si>
  <si>
    <t>Engine meta xử lý tiến trình và thưởng dựa trên các event từ gameplay (DailyQuizCompleted, LevelCompleted, MiniGameCompleted…): tính EXP/level, áp dụng bảng thưởng theo cấu hình, xử lý bonus/nhân thưởng theo rule, ghi log phát thưởng và đảm bảo chống nhận thưởng trùng (idempotent). Không quản lý chi tiết streak và hint (tách riêng thành module chuyên trách).</t>
  </si>
  <si>
    <t>G06_F02</t>
  </si>
  <si>
    <t>G06_F03</t>
  </si>
  <si>
    <t>Streak Management</t>
  </si>
  <si>
    <t>Quản lý streak theo ngày: xác định điều kiện tăng/giữ/reset streak, hỗ trợ grace rule (nếu có), xử lý milestone streak (7/14/30…), và cung cấp trạng thái streak cho UI/Profile/Notification. Nhận event từ gameplay/reward để cập nhật, đồng thời ghi log để tránh cấp milestone trùng.</t>
  </si>
  <si>
    <t>Hint Management</t>
  </si>
  <si>
    <t>Quản lý tài nguyên Hint (số dư, cộng/trừ, giới hạn sử dụng): nhận nguồn cộng từ reward/ads/shop, trừ khi người chơi dùng hint trong quiz/level, và ghi lịch sử biến động qua Wallet để đảm bảo đồng bộ và tránh lỗi khi mất kết nối. Các mode gameplay chỉ gọi “request use hint”, còn rule kiểm tra đủ hint/được phép dùng do module này quyết định.</t>
  </si>
  <si>
    <t>Dashboard cho vận hành/PM theo dõi KPI (DAU/MAU, retention, ad revenue, conversion…). Thu thập dữ liệu từ event tracking, tổng hợp/hiển thị theo thời gian và bộ lọc; không can thiệp vào gameplay, chỉ quan sát và báo cáo.</t>
  </si>
  <si>
    <t>Tính năng quiz hằng ngày theo phiên chơi: kiểm tra quyền chơi trong ngày, lấy bộ câu hỏi theo quy tắc chọn câu hỏi, hiển thị câu hỏi/đáp án, nhận thao tác trả lời và chấm đúng/sai cho từng câu. Khi kết thúc phiên (hoàn thành/thoát), hệ thống ghi nhận kết quả phiên chơi và phát sinh gameplay event (ví dụ: DailyQuizCompleted) để các hệ thống meta xử lý (Reward/Progression, Streak, Hint).</t>
  </si>
  <si>
    <t>Hệ thống quiz theo level: hiển thị danh sách level và trạng thái mở/khóa, cho phép vào chơi 1 level, hiển thị câu hỏi, nhận câu trả lời và đánh giá điều kiện hoàn thành level. Khi hoàn thành, hệ thống cập nhật trạng thái tiến độ level (unlock level kế tiếp nếu đủ điều kiện) và phát sinh gameplay event (LevelCompleted) kèm kết quả để các hệ thống meta xử lý.</t>
  </si>
  <si>
    <t>Danh sách và luồng vào chơi mini game: hiển thị các mini game và trạng thái locked/unlocked, kiểm tra điều kiện truy cập (level/currency/premium), cho phép bắt đầu phiên mini game và ghi nhận kết quả phiên chơi. Khi hoàn thành, hệ thống phát sinh gameplay event (MiniGameCompleted) kèm kết quả để các hệ thống meta xử lý (thưởng/tiến trình/mở khóa theo cấu hình).</t>
  </si>
  <si>
    <t>Hệ thống sưu tập và tùy biến ngoại hình (avatar, frame, hiệu ứng tên) cho hồ sơ người dùng. Quản lý danh mục cosmetic, trạng thái sở hữu (owned/locked) dựa trên dữ liệu từ Shop/Wallet, và trang bị (equip/unequip) để hiển thị trên profile/leaderboard. Không xử lý luồng mua hàng (purchase) trong module này.</t>
  </si>
  <si>
    <t>Trung tâm thông báo gồm push notification và in-app notification cho các sự kiện quan trọng: nhắc Daily Quiz, cảnh báo mất streak, thông báo hệ thống, kết quả trận đấu, lời mời thách đấu. Quản lý nội dung, phân loại, trạng thái đã đọc, lịch sử hiển thị và cơ chế gửi/hiển thị. Việc bật/tắt từng loại thông báo được quản lý tại App Settings (Notification Preferences), Notification Center chỉ đọc cấu hình để áp dụng.</t>
  </si>
  <si>
    <t>Hệ thống tiếp nhận và xử lý báo cáo phục vụ kiểm duyệt: báo cáo câu hỏi sai, gian lận, hành vi không phù hợp. Cung cấp danh sách/chi tiết báo cáo, trạng thái xử lý, quyết định duyệt/đóng và hành động moderation (cảnh cáo/ban…). Tách biệt với ticket CSKH (Contact Support) để phân luồng vận hành và SLA rõ ràng; hỗ trợ audit/log để truy vết.</t>
  </si>
  <si>
    <t>G06_F01_SF01</t>
  </si>
  <si>
    <t>Receive Gameplay Event</t>
  </si>
  <si>
    <t>Tiếp nhận event kết quả từ gameplay (DailyQuizCompleted, LevelCompleted, MiniGameCompleted…) và chuẩn hoá payload để xử lý thống nhất theo rule.</t>
  </si>
  <si>
    <t>G06_F01_SF02</t>
  </si>
  <si>
    <t>Calculate EXP Gain</t>
  </si>
  <si>
    <t>Tính EXP nhận được dựa trên kết quả gameplay và cấu hình (mode/độ khó/số câu đúng/thời gian…).</t>
  </si>
  <si>
    <t>G06_F01_SF03</t>
  </si>
  <si>
    <t>Update Player Level</t>
  </si>
  <si>
    <t>Cập nhật level người chơi dựa trên EXP tích lũy (level up), đồng thời đảm bảo logic cập nhật nhất quán.</t>
  </si>
  <si>
    <t>G06_F01_SF04</t>
  </si>
  <si>
    <t>Calculate Base Rewards</t>
  </si>
  <si>
    <t>Tính phần thưởng cơ bản (Coin/EXP/Item nếu có) dựa trên reward table theo mode và kết quả phiên chơi.</t>
  </si>
  <si>
    <t>G06_F01_SF05</t>
  </si>
  <si>
    <t>Apply Bonus / Multiplier Rules</t>
  </si>
  <si>
    <t>Áp dụng các rule bonus/nhân thưởng (ví dụ first-completion bonus, event bonus, ad multiplier nếu được kích hoạt) lên phần thưởng cơ bản.</t>
  </si>
  <si>
    <t>G06_F01_SF06</t>
  </si>
  <si>
    <t>Grant Rewards (via Wallet/Inventory)</t>
  </si>
  <si>
    <t>Thực thi phát thưởng bằng cách ghi nhận transaction qua Wallet/Inventory và trả về kết quả phát thưởng cho client.</t>
  </si>
  <si>
    <t>G06_F01_SF07</t>
  </si>
  <si>
    <t>Reward Transaction Logging &amp; Idempotency</t>
  </si>
  <si>
    <t>Ghi log giao dịch thưởng và đảm bảo idempotency để tránh phát thưởng trùng khi retry/mất mạng.</t>
  </si>
  <si>
    <t>G06_F01_SF08</t>
  </si>
  <si>
    <t>Query Reward History</t>
  </si>
  <si>
    <t>Cho phép truy vấn lịch sử phát thưởng theo user/mode/thời gian phục vụ audit/admin (tuỳ nhu cầu).</t>
  </si>
  <si>
    <t>G06_F02_SF01</t>
  </si>
  <si>
    <t>Evaluate Streak Eligibility</t>
  </si>
  <si>
    <t>Xác định event nào đủ điều kiện tính streak (ví dụ hoàn thành Daily Quiz) và rule “1 lần/ngày”.</t>
  </si>
  <si>
    <t>G06_F02_SF02</t>
  </si>
  <si>
    <t>Update Daily Streak</t>
  </si>
  <si>
    <t>Cập nhật streak theo ngày (increase/keep/reset) dựa trên thời điểm hoạt động và rule ngày.</t>
  </si>
  <si>
    <t>G06_F02_SF03</t>
  </si>
  <si>
    <t>Apply Grace / Freeze Rules</t>
  </si>
  <si>
    <t>Áp dụng cơ chế “grace day / streak freeze” nếu sản phẩm có hỗ trợ bảo toàn streak.</t>
  </si>
  <si>
    <t>G06_F02_SF04</t>
  </si>
  <si>
    <t>Check Milestone Achievement</t>
  </si>
  <si>
    <t>Kiểm tra người chơi đạt mốc streak (7/14/30…) và tạo sự kiện milestone đạt được.</t>
  </si>
  <si>
    <t>G06_F02_SF05</t>
  </si>
  <si>
    <t>Trigger Milestone Reward</t>
  </si>
  <si>
    <t>Kích hoạt phát thưởng khi đạt milestone bằng cách gửi yêu cầu sang Reward system (không tự cộng Coin trong module này).</t>
  </si>
  <si>
    <t>G06_F02_SF06</t>
  </si>
  <si>
    <t>Provide Streak Status</t>
  </si>
  <si>
    <t>Cung cấp trạng thái streak hiện tại (current streak, last active day, next milestone…) cho UI/Profile/Notification sử dụng.</t>
  </si>
  <si>
    <t>G06_F02_SF07</t>
  </si>
  <si>
    <t>Streak Logging &amp; Idempotency</t>
  </si>
  <si>
    <t>Ghi log cập nhật streak và chống cập nhật trùng trong cùng ngày hoặc khi retry.</t>
  </si>
  <si>
    <t>G06_F03_SF01</t>
  </si>
  <si>
    <t>Get Hint Balance</t>
  </si>
  <si>
    <t>Truy vấn số lượt hint hiện có của user để hiển thị và kiểm tra trước khi sử dụng.</t>
  </si>
  <si>
    <t>G06_F03_SF02</t>
  </si>
  <si>
    <t>Consume Hint</t>
  </si>
  <si>
    <t>Trừ hint khi người chơi sử dụng trong quiz/level; đảm bảo không trừ âm và chống trừ trùng khi retry.</t>
  </si>
  <si>
    <t>G06_F03_SF03</t>
  </si>
  <si>
    <t>Grant Hint</t>
  </si>
  <si>
    <t>Cộng hint từ các nguồn như completion reward, shop purchase, ads reward hoặc event reward.</t>
  </si>
  <si>
    <t>G06_F03_SF04</t>
  </si>
  <si>
    <t>Validate Hint Usage Rules</t>
  </si>
  <si>
    <t>Kiểm tra rule dùng hint theo mode/level (được phép dùng hay không, giới hạn số lần/phiên…).</t>
  </si>
  <si>
    <t>G06_F03_SF05</t>
  </si>
  <si>
    <t>Hint Transaction Logging</t>
  </si>
  <si>
    <t>Ghi log biến động hint (cộng/trừ) và đồng bộ với Wallet/transaction system nếu hint được coi là resource.</t>
  </si>
  <si>
    <t>G06_F03_SF06</t>
  </si>
  <si>
    <t>Purchase Hint (via Shop/Wallet)</t>
  </si>
  <si>
    <t>Luồng mua hint: nhận yêu cầu mua, gọi Shop/Wallet để trừ Coin/Gem và sau đó cộng hint tương ứng.</t>
  </si>
  <si>
    <t>G06_F03_SF07</t>
  </si>
  <si>
    <t>Rewarded Ad Hint Grant</t>
  </si>
  <si>
    <t>Nhận callback từ rewarded ad và cấp hint theo rule sau khi user xem quảng cáo thành công.</t>
  </si>
  <si>
    <t>Cộng EXP sau mỗi câu đúng, tạo trigger update steak</t>
  </si>
  <si>
    <t>Evaluate Answer Correctness</t>
  </si>
  <si>
    <t>G02_F04</t>
  </si>
  <si>
    <t>Quick Calculate</t>
  </si>
  <si>
    <t>Mini game tính toán nhanh: hệ thống liên tục hiển thị các phép toán + - * / theo dạng câu hỏi ngắn, người chơi nhập đáp án trong thời gian giới hạn. Tốc độ/độ khó tăng dần (thời gian cho mỗi câu giảm dần hoặc phép toán phức tạp hơn). Điểm số được tính theo số câu trả lời đúng (có thể cộng thêm bonus theo streak đúng/độ khó), và kết quả phiên chơi được ghi nhận để phát sinh event cho hệ thống Reward/Progression xử lý thưởng/xếp hạng (nếu áp dụng).</t>
  </si>
  <si>
    <t>G02_F04_SF01</t>
  </si>
  <si>
    <t>Start Session</t>
  </si>
  <si>
    <t>Khởi tạo phiên chơi: chọn mode/cấp độ (nếu có), reset điểm, thiết lập timer ban đầu và tham số tăng tốc/độ khó theo cấu hình.</t>
  </si>
  <si>
    <t>G02_F04_SF02</t>
  </si>
  <si>
    <t>Generate Next Operation</t>
  </si>
  <si>
    <t>Tạo phép toán tiếp theo theo rule (loại phép tính, phạm vi số, độ khó), đảm bảo câu hỏi hợp lệ (ví dụ phép chia cho ra số nguyên nếu yêu cầu).</t>
  </si>
  <si>
    <t>G02_F04_SF03</t>
  </si>
  <si>
    <t>Display Operation &amp; Countdown</t>
  </si>
  <si>
    <t>Hiển thị phép toán hiện tại và đếm ngược thời gian trả lời cho câu đó; cập nhật UI theo tick/timebar.</t>
  </si>
  <si>
    <t>G02_F04_SF04</t>
  </si>
  <si>
    <t>Capture Answer Input</t>
  </si>
  <si>
    <t>Nhận input đáp án từ người chơi (nút số/keyboard), hỗ trợ xoá/sửa và xác nhận nộp bài.</t>
  </si>
  <si>
    <t>G02_F04_SF05</t>
  </si>
  <si>
    <t>Chấm đúng/sai, cập nhật số câu đúng liên tiếp (nếu có), ghi nhận kết quả câu hiện tại (không xử lý EXP/reward tại đây).</t>
  </si>
  <si>
    <t>G02_F04_SF06</t>
  </si>
  <si>
    <t>Increase Difficulty / Speed Ramp</t>
  </si>
  <si>
    <t>Điều chỉnh độ khó/tốc độ theo tiến trình: giảm thời gian cho câu tiếp theo và/hoặc tăng độ phức tạp phép toán theo cấu hình.</t>
  </si>
  <si>
    <t>G02_F04_SF07</t>
  </si>
  <si>
    <t>End Session &amp; Compute Score</t>
  </si>
  <si>
    <t>Kết thúc phiên khi hết thời gian/tối đa câu/sai quá số lần (tuỳ rule), tổng hợp điểm cuối cùng (primary metric: số câu đúng) và thống kê phiên chơi.</t>
  </si>
  <si>
    <t>G02_F04_SF08</t>
  </si>
  <si>
    <t>Emit QuickCalculateCompleted Event</t>
  </si>
  <si>
    <t>Phát sinh event kết quả phiên chơi (điểm, số câu đúng/sai, độ khó đạt tới, thời lượng) để Reward &amp; Progression / Ranking xử lý (nếu áp dụng).</t>
  </si>
  <si>
    <t>View Basic Profile Info</t>
  </si>
  <si>
    <t>Hiển thị thông tin cơ bản của hồ sơ người dùng: username/display name, avatar/frame đang trang bị, user ID (nếu cần), ngày tham gia (join date), trạng thái Premium/Free và (tuỳ chọn) quốc gia/khu vực. Chỉ hiển thị các trường được phép theo Privacy Settings.</t>
  </si>
  <si>
    <t>Guest (R01)</t>
  </si>
  <si>
    <t>User (Free) (R02)</t>
  </si>
  <si>
    <t>User (Premium) (R03)</t>
  </si>
  <si>
    <t>Admin (R04)</t>
  </si>
  <si>
    <t>Content Editor (R05)</t>
  </si>
  <si>
    <t>Moderator (R06)</t>
  </si>
  <si>
    <t>-</t>
  </si>
  <si>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</sst>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xf numFmtId="0" fontId="0" fillId="0" borderId="1" xfId="0" applyBorder="1" applyAlignment="1">
      <alignment wrapText="1"/>
    </xf>
    <xf numFmtId="0" fontId="0" fillId="0" borderId="0" xfId="0" applyAlignment="1">
      <alignment horizontal="center" vertical="center"/>
    </xf>
    <xf numFmtId="0" fontId="0" fillId="0" borderId="1" xfId="0" applyBorder="1" applyAlignment="1">
      <alignment horizontal="center" vertical="center"/>
    </xf>
    <xf numFmtId="0" fontId="0" fillId="0" borderId="0" xfId="0" applyAlignment="1">
      <alignment wrapText="1"/>
    </xf>
    <xf numFmtId="0" fontId="2" fillId="0" borderId="0" xfId="0" applyFont="1" applyAlignment="1">
      <alignment horizontal="center" vertical="center"/>
    </xf>
    <xf numFmtId="0" fontId="2" fillId="0" borderId="0" xfId="0" applyFont="1" applyAlignment="1">
      <alignment horizontal="center" vertical="center" wrapText="1"/>
    </xf>
    <xf numFmtId="0" fontId="0" fillId="0" borderId="0" xfId="0" quotePrefix="1" applyAlignment="1">
      <alignment horizontal="center" vertical="center"/>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E21ED-752B-4EDD-A624-A40366B692C2}">
  <dimension ref="A1:E7"/>
  <sheetViews>
    <sheetView workbookViewId="0">
      <selection activeCell="C15" sqref="C15"/>
    </sheetView>
  </sheetViews>
  <sheetFormatPr defaultRowHeight="15" x14ac:dyDescent="0.25"/>
  <cols>
    <col min="1" max="1" width="7.28515625" bestFit="1" customWidth="1"/>
    <col min="2" max="2" width="15.140625" bestFit="1" customWidth="1"/>
    <col min="3" max="3" width="33.140625" bestFit="1" customWidth="1"/>
    <col min="4" max="4" width="8" bestFit="1" customWidth="1"/>
    <col min="5" max="5" width="32.7109375" bestFit="1" customWidth="1"/>
  </cols>
  <sheetData>
    <row r="1" spans="1:5" x14ac:dyDescent="0.25">
      <c r="A1" t="s">
        <v>0</v>
      </c>
      <c r="B1" t="s">
        <v>1</v>
      </c>
      <c r="C1" t="s">
        <v>2</v>
      </c>
      <c r="D1" t="s">
        <v>36</v>
      </c>
      <c r="E1" t="s">
        <v>37</v>
      </c>
    </row>
    <row r="2" spans="1:5" x14ac:dyDescent="0.25">
      <c r="A2" t="s">
        <v>360</v>
      </c>
      <c r="B2" t="s">
        <v>3</v>
      </c>
      <c r="C2" t="s">
        <v>4</v>
      </c>
      <c r="D2" t="s">
        <v>38</v>
      </c>
      <c r="E2" t="s">
        <v>39</v>
      </c>
    </row>
    <row r="3" spans="1:5" x14ac:dyDescent="0.25">
      <c r="A3" t="s">
        <v>361</v>
      </c>
      <c r="B3" t="s">
        <v>5</v>
      </c>
      <c r="C3" t="s">
        <v>6</v>
      </c>
      <c r="D3" t="s">
        <v>38</v>
      </c>
      <c r="E3" t="s">
        <v>40</v>
      </c>
    </row>
    <row r="4" spans="1:5" x14ac:dyDescent="0.25">
      <c r="A4" t="s">
        <v>362</v>
      </c>
      <c r="B4" t="s">
        <v>7</v>
      </c>
      <c r="C4" t="s">
        <v>8</v>
      </c>
      <c r="D4" t="s">
        <v>38</v>
      </c>
      <c r="E4" t="s">
        <v>42</v>
      </c>
    </row>
    <row r="5" spans="1:5" x14ac:dyDescent="0.25">
      <c r="A5" t="s">
        <v>363</v>
      </c>
      <c r="B5" t="s">
        <v>9</v>
      </c>
      <c r="C5" t="s">
        <v>10</v>
      </c>
      <c r="D5" t="s">
        <v>11</v>
      </c>
      <c r="E5" t="s">
        <v>41</v>
      </c>
    </row>
    <row r="6" spans="1:5" x14ac:dyDescent="0.25">
      <c r="A6" t="s">
        <v>364</v>
      </c>
      <c r="B6" t="s">
        <v>12</v>
      </c>
      <c r="C6" t="s">
        <v>13</v>
      </c>
      <c r="D6" t="s">
        <v>11</v>
      </c>
      <c r="E6" t="s">
        <v>41</v>
      </c>
    </row>
    <row r="7" spans="1:5" x14ac:dyDescent="0.25">
      <c r="A7" t="s">
        <v>365</v>
      </c>
      <c r="B7" t="s">
        <v>14</v>
      </c>
      <c r="C7" t="s">
        <v>15</v>
      </c>
      <c r="D7" t="s">
        <v>11</v>
      </c>
      <c r="E7" t="s">
        <v>41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00D08-A0E8-4164-8705-6DB3744CB88A}">
  <dimension ref="A1:D12"/>
  <sheetViews>
    <sheetView zoomScale="70" zoomScaleNormal="70" workbookViewId="0">
      <selection activeCell="C4" sqref="C4"/>
    </sheetView>
  </sheetViews>
  <sheetFormatPr defaultRowHeight="15" x14ac:dyDescent="0.25"/>
  <cols>
    <col min="1" max="1" width="15.7109375" style="3" bestFit="1" customWidth="1"/>
    <col min="2" max="2" width="23.28515625" style="3" bestFit="1" customWidth="1"/>
    <col min="3" max="3" width="101.7109375" style="5" customWidth="1"/>
    <col min="4" max="4" width="21.140625" style="3" bestFit="1" customWidth="1"/>
  </cols>
  <sheetData>
    <row r="1" spans="1:4" s="6" customFormat="1" x14ac:dyDescent="0.25">
      <c r="A1" s="6" t="s">
        <v>299</v>
      </c>
      <c r="B1" s="6" t="s">
        <v>300</v>
      </c>
      <c r="C1" s="7" t="s">
        <v>17</v>
      </c>
      <c r="D1" s="6" t="s">
        <v>341</v>
      </c>
    </row>
    <row r="2" spans="1:4" ht="29.1" customHeight="1" x14ac:dyDescent="0.25">
      <c r="A2" s="3" t="s">
        <v>325</v>
      </c>
      <c r="B2" s="3" t="s">
        <v>311</v>
      </c>
      <c r="C2" s="5" t="s">
        <v>302</v>
      </c>
      <c r="D2" s="3">
        <f>COUNTIF('3. Functions'!A:A, '2. Function Groups'!B2)</f>
        <v>2</v>
      </c>
    </row>
    <row r="3" spans="1:4" ht="45" x14ac:dyDescent="0.25">
      <c r="A3" s="3" t="s">
        <v>326</v>
      </c>
      <c r="B3" s="3" t="s">
        <v>298</v>
      </c>
      <c r="C3" s="5" t="s">
        <v>303</v>
      </c>
      <c r="D3" s="3">
        <f>COUNTIF('3. Functions'!A:A, '2. Function Groups'!B3)</f>
        <v>4</v>
      </c>
    </row>
    <row r="4" spans="1:4" ht="45" x14ac:dyDescent="0.25">
      <c r="A4" s="3" t="s">
        <v>327</v>
      </c>
      <c r="B4" s="3" t="s">
        <v>312</v>
      </c>
      <c r="C4" s="5" t="s">
        <v>304</v>
      </c>
      <c r="D4" s="3">
        <f>COUNTIF('3. Functions'!A:A, '2. Function Groups'!B4)</f>
        <v>3</v>
      </c>
    </row>
    <row r="5" spans="1:4" ht="45" x14ac:dyDescent="0.25">
      <c r="A5" s="3" t="s">
        <v>328</v>
      </c>
      <c r="B5" s="3" t="s">
        <v>313</v>
      </c>
      <c r="C5" s="5" t="s">
        <v>305</v>
      </c>
      <c r="D5" s="3">
        <f>COUNTIF('3. Functions'!A:A, '2. Function Groups'!B5)</f>
        <v>3</v>
      </c>
    </row>
    <row r="6" spans="1:4" ht="45" x14ac:dyDescent="0.25">
      <c r="A6" s="3" t="s">
        <v>329</v>
      </c>
      <c r="B6" s="3" t="s">
        <v>314</v>
      </c>
      <c r="C6" s="5" t="s">
        <v>306</v>
      </c>
      <c r="D6" s="3">
        <f>COUNTIF('3. Functions'!A:A, '2. Function Groups'!B6)</f>
        <v>1</v>
      </c>
    </row>
    <row r="7" spans="1:4" ht="45" x14ac:dyDescent="0.25">
      <c r="A7" s="3" t="s">
        <v>330</v>
      </c>
      <c r="B7" s="3" t="s">
        <v>315</v>
      </c>
      <c r="C7" s="5" t="s">
        <v>307</v>
      </c>
      <c r="D7" s="3">
        <f>COUNTIF('3. Functions'!A:A, '2. Function Groups'!B7)</f>
        <v>3</v>
      </c>
    </row>
    <row r="8" spans="1:4" ht="45" x14ac:dyDescent="0.25">
      <c r="A8" s="3" t="s">
        <v>331</v>
      </c>
      <c r="B8" s="3" t="s">
        <v>316</v>
      </c>
      <c r="C8" s="5" t="s">
        <v>308</v>
      </c>
      <c r="D8" s="3">
        <f>COUNTIF('3. Functions'!A:A, '2. Function Groups'!B8)</f>
        <v>3</v>
      </c>
    </row>
    <row r="9" spans="1:4" ht="45" x14ac:dyDescent="0.25">
      <c r="A9" s="3" t="s">
        <v>332</v>
      </c>
      <c r="B9" s="3" t="s">
        <v>317</v>
      </c>
      <c r="C9" s="5" t="s">
        <v>309</v>
      </c>
      <c r="D9" s="3">
        <f>COUNTIF('3. Functions'!A:A, '2. Function Groups'!B9)</f>
        <v>1</v>
      </c>
    </row>
    <row r="10" spans="1:4" ht="45" x14ac:dyDescent="0.25">
      <c r="A10" s="3" t="s">
        <v>333</v>
      </c>
      <c r="B10" s="3" t="s">
        <v>318</v>
      </c>
      <c r="C10" s="5" t="s">
        <v>310</v>
      </c>
      <c r="D10" s="3">
        <f>COUNTIF('3. Functions'!A:A, '2. Function Groups'!B10)</f>
        <v>2</v>
      </c>
    </row>
    <row r="11" spans="1:4" ht="75" x14ac:dyDescent="0.25">
      <c r="A11" s="3" t="s">
        <v>334</v>
      </c>
      <c r="B11" s="3" t="s">
        <v>319</v>
      </c>
      <c r="C11" s="5" t="s">
        <v>321</v>
      </c>
      <c r="D11" s="3">
        <f>COUNTIF('3. Functions'!A:A, '2. Function Groups'!B11)</f>
        <v>2</v>
      </c>
    </row>
    <row r="12" spans="1:4" ht="60" x14ac:dyDescent="0.25">
      <c r="A12" s="3" t="s">
        <v>335</v>
      </c>
      <c r="B12" s="3" t="s">
        <v>322</v>
      </c>
      <c r="C12" s="5" t="s">
        <v>320</v>
      </c>
      <c r="D12" s="3">
        <f>COUNTIF('3. Functions'!A:A, '2. Function Groups'!B12)</f>
        <v>3</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7F737-D31D-4805-9946-F4CE219ED882}">
  <dimension ref="A1:E28"/>
  <sheetViews>
    <sheetView tabSelected="1" zoomScale="70" zoomScaleNormal="70" workbookViewId="0">
      <selection activeCell="F7" sqref="F7"/>
    </sheetView>
  </sheetViews>
  <sheetFormatPr defaultRowHeight="15" x14ac:dyDescent="0.25"/>
  <cols>
    <col min="1" max="1" width="22.42578125" bestFit="1" customWidth="1"/>
    <col min="2" max="2" width="11.42578125" customWidth="1"/>
    <col min="3" max="3" width="26.5703125" bestFit="1" customWidth="1"/>
    <col min="4" max="4" width="84.140625" style="5" customWidth="1"/>
    <col min="5" max="5" width="21.140625" style="3" bestFit="1" customWidth="1"/>
  </cols>
  <sheetData>
    <row r="1" spans="1:5" x14ac:dyDescent="0.25">
      <c r="A1" s="1" t="s">
        <v>301</v>
      </c>
      <c r="B1" s="1" t="s">
        <v>16</v>
      </c>
      <c r="C1" s="1" t="s">
        <v>323</v>
      </c>
      <c r="D1" s="2" t="s">
        <v>17</v>
      </c>
      <c r="E1" s="4" t="s">
        <v>324</v>
      </c>
    </row>
    <row r="2" spans="1:5" ht="45" x14ac:dyDescent="0.25">
      <c r="A2" s="1" t="str">
        <f>VLOOKUP(LEFT(B2, 3), '2. Function Groups'!A:B, 2, FALSE)</f>
        <v>Authentication &amp; Account</v>
      </c>
      <c r="B2" s="1" t="s">
        <v>336</v>
      </c>
      <c r="C2" s="1" t="s">
        <v>23</v>
      </c>
      <c r="D2" s="2" t="s">
        <v>492</v>
      </c>
      <c r="E2" s="4">
        <f>COUNTIF('4. Sub-Functions'!A:A, '3. Functions'!C2)</f>
        <v>7</v>
      </c>
    </row>
    <row r="3" spans="1:5" ht="45" x14ac:dyDescent="0.25">
      <c r="A3" s="1" t="str">
        <f>VLOOKUP(LEFT(B3, 3), '2. Function Groups'!A:B, 2, FALSE)</f>
        <v>Authentication &amp; Account</v>
      </c>
      <c r="B3" s="1" t="s">
        <v>337</v>
      </c>
      <c r="C3" s="1" t="s">
        <v>24</v>
      </c>
      <c r="D3" s="2" t="s">
        <v>493</v>
      </c>
      <c r="E3" s="4">
        <f>COUNTIF('4. Sub-Functions'!A:A, '3. Functions'!C3)</f>
        <v>4</v>
      </c>
    </row>
    <row r="4" spans="1:5" ht="75" x14ac:dyDescent="0.25">
      <c r="A4" s="1" t="str">
        <f>VLOOKUP(LEFT(B4, 3), '2. Function Groups'!A:B, 2, FALSE)</f>
        <v>Core Gameplay</v>
      </c>
      <c r="B4" s="1" t="s">
        <v>338</v>
      </c>
      <c r="C4" s="1" t="s">
        <v>18</v>
      </c>
      <c r="D4" s="2" t="s">
        <v>517</v>
      </c>
      <c r="E4" s="4">
        <f>COUNTIF('4. Sub-Functions'!A:A, '3. Functions'!C4)</f>
        <v>5</v>
      </c>
    </row>
    <row r="5" spans="1:5" ht="60" x14ac:dyDescent="0.25">
      <c r="A5" s="1" t="str">
        <f>VLOOKUP(LEFT(B5, 3), '2. Function Groups'!A:B, 2, FALSE)</f>
        <v>Core Gameplay</v>
      </c>
      <c r="B5" s="1" t="s">
        <v>339</v>
      </c>
      <c r="C5" s="1" t="s">
        <v>19</v>
      </c>
      <c r="D5" s="2" t="s">
        <v>518</v>
      </c>
      <c r="E5" s="4">
        <f>COUNTIF('4. Sub-Functions'!A:A, '3. Functions'!C5)</f>
        <v>6</v>
      </c>
    </row>
    <row r="6" spans="1:5" ht="75" x14ac:dyDescent="0.25">
      <c r="A6" s="1" t="str">
        <f>VLOOKUP(LEFT(B6, 3), '2. Function Groups'!A:B, 2, FALSE)</f>
        <v>Core Gameplay</v>
      </c>
      <c r="B6" s="1" t="s">
        <v>340</v>
      </c>
      <c r="C6" s="1" t="s">
        <v>20</v>
      </c>
      <c r="D6" s="2" t="s">
        <v>519</v>
      </c>
      <c r="E6" s="4">
        <f>COUNTIF('4. Sub-Functions'!A:A, '3. Functions'!C6)</f>
        <v>5</v>
      </c>
    </row>
    <row r="7" spans="1:5" ht="90" x14ac:dyDescent="0.25">
      <c r="A7" s="1" t="str">
        <f>VLOOKUP(LEFT(B7, 3), '2. Function Groups'!A:B, 2, FALSE)</f>
        <v>Core Gameplay</v>
      </c>
      <c r="B7" s="1" t="s">
        <v>591</v>
      </c>
      <c r="C7" s="1" t="s">
        <v>592</v>
      </c>
      <c r="D7" s="2" t="s">
        <v>593</v>
      </c>
      <c r="E7" s="4">
        <f>COUNTIF('4. Sub-Functions'!A:A, '3. Functions'!C7)</f>
        <v>8</v>
      </c>
    </row>
    <row r="8" spans="1:5" ht="60" x14ac:dyDescent="0.25">
      <c r="A8" s="1" t="str">
        <f>VLOOKUP(LEFT(B8, 3), '2. Function Groups'!A:B, 2, FALSE)</f>
        <v>Economy &amp; IAP</v>
      </c>
      <c r="B8" s="1" t="s">
        <v>344</v>
      </c>
      <c r="C8" s="1" t="s">
        <v>25</v>
      </c>
      <c r="D8" s="2" t="s">
        <v>520</v>
      </c>
      <c r="E8" s="4">
        <f>COUNTIF('4. Sub-Functions'!A:A, '3. Functions'!C8)</f>
        <v>8</v>
      </c>
    </row>
    <row r="9" spans="1:5" ht="45" x14ac:dyDescent="0.25">
      <c r="A9" s="1" t="str">
        <f>VLOOKUP(LEFT(B9, 3), '2. Function Groups'!A:B, 2, FALSE)</f>
        <v>Economy &amp; IAP</v>
      </c>
      <c r="B9" s="1" t="s">
        <v>345</v>
      </c>
      <c r="C9" s="1" t="s">
        <v>26</v>
      </c>
      <c r="D9" s="2" t="s">
        <v>494</v>
      </c>
      <c r="E9" s="4">
        <f>COUNTIF('4. Sub-Functions'!A:A, '3. Functions'!C9)</f>
        <v>6</v>
      </c>
    </row>
    <row r="10" spans="1:5" ht="45" x14ac:dyDescent="0.25">
      <c r="A10" s="1" t="str">
        <f>VLOOKUP(LEFT(B10, 3), '2. Function Groups'!A:B, 2, FALSE)</f>
        <v>Economy &amp; IAP</v>
      </c>
      <c r="B10" s="1" t="s">
        <v>346</v>
      </c>
      <c r="C10" s="1" t="s">
        <v>27</v>
      </c>
      <c r="D10" s="2" t="s">
        <v>495</v>
      </c>
      <c r="E10" s="4">
        <f>COUNTIF('4. Sub-Functions'!A:A, '3. Functions'!C10)</f>
        <v>7</v>
      </c>
    </row>
    <row r="11" spans="1:5" ht="45" x14ac:dyDescent="0.25">
      <c r="A11" s="1" t="str">
        <f>VLOOKUP(LEFT(B11, 3), '2. Function Groups'!A:B, 2, FALSE)</f>
        <v>Settings &amp; Configuration</v>
      </c>
      <c r="B11" s="1" t="s">
        <v>356</v>
      </c>
      <c r="C11" s="1" t="s">
        <v>43</v>
      </c>
      <c r="D11" s="2" t="s">
        <v>496</v>
      </c>
      <c r="E11" s="4">
        <f>COUNTIF('4. Sub-Functions'!A:A, '3. Functions'!C11)</f>
        <v>4</v>
      </c>
    </row>
    <row r="12" spans="1:5" ht="45" x14ac:dyDescent="0.25">
      <c r="A12" s="1" t="str">
        <f>VLOOKUP(LEFT(B12, 3), '2. Function Groups'!A:B, 2, FALSE)</f>
        <v>Settings &amp; Configuration</v>
      </c>
      <c r="B12" s="1" t="s">
        <v>357</v>
      </c>
      <c r="C12" s="1" t="s">
        <v>44</v>
      </c>
      <c r="D12" s="2" t="s">
        <v>497</v>
      </c>
      <c r="E12" s="4">
        <f>COUNTIF('4. Sub-Functions'!A:A, '3. Functions'!C12)</f>
        <v>4</v>
      </c>
    </row>
    <row r="13" spans="1:5" ht="45" x14ac:dyDescent="0.25">
      <c r="A13" s="1" t="str">
        <f>VLOOKUP(LEFT(B13, 3), '2. Function Groups'!A:B, 2, FALSE)</f>
        <v>Settings &amp; Configuration</v>
      </c>
      <c r="B13" s="1" t="s">
        <v>358</v>
      </c>
      <c r="C13" s="1" t="s">
        <v>47</v>
      </c>
      <c r="D13" s="2" t="s">
        <v>498</v>
      </c>
      <c r="E13" s="4">
        <f>COUNTIF('4. Sub-Functions'!A:A, '3. Functions'!C13)</f>
        <v>3</v>
      </c>
    </row>
    <row r="14" spans="1:5" ht="45" x14ac:dyDescent="0.25">
      <c r="A14" s="1" t="str">
        <f>VLOOKUP(LEFT(B14, 3), '2. Function Groups'!A:B, 2, FALSE)</f>
        <v>Analytics &amp; Tracking</v>
      </c>
      <c r="B14" s="1" t="s">
        <v>355</v>
      </c>
      <c r="C14" s="1" t="s">
        <v>35</v>
      </c>
      <c r="D14" s="2" t="s">
        <v>516</v>
      </c>
      <c r="E14" s="4">
        <f>COUNTIF('4. Sub-Functions'!A:A, '3. Functions'!C14)</f>
        <v>5</v>
      </c>
    </row>
    <row r="15" spans="1:5" ht="75" x14ac:dyDescent="0.25">
      <c r="A15" s="1" t="str">
        <f>VLOOKUP(LEFT(B15, 3), '2. Function Groups'!A:B, 2, FALSE)</f>
        <v>Progression &amp; Reward</v>
      </c>
      <c r="B15" s="1" t="s">
        <v>491</v>
      </c>
      <c r="C15" s="1" t="s">
        <v>508</v>
      </c>
      <c r="D15" s="2" t="s">
        <v>509</v>
      </c>
      <c r="E15" s="4">
        <f>COUNTIF('4. Sub-Functions'!A:A, '3. Functions'!C15)</f>
        <v>8</v>
      </c>
    </row>
    <row r="16" spans="1:5" ht="60" x14ac:dyDescent="0.25">
      <c r="A16" s="1" t="str">
        <f>VLOOKUP(LEFT(B16, 3), '2. Function Groups'!A:B, 2, FALSE)</f>
        <v>Progression &amp; Reward</v>
      </c>
      <c r="B16" s="1" t="s">
        <v>510</v>
      </c>
      <c r="C16" s="1" t="s">
        <v>512</v>
      </c>
      <c r="D16" s="2" t="s">
        <v>513</v>
      </c>
      <c r="E16" s="4">
        <f>COUNTIF('4. Sub-Functions'!A:A, '3. Functions'!C16)</f>
        <v>7</v>
      </c>
    </row>
    <row r="17" spans="1:5" ht="60" x14ac:dyDescent="0.25">
      <c r="A17" s="1" t="str">
        <f>VLOOKUP(LEFT(B17, 3), '2. Function Groups'!A:B, 2, FALSE)</f>
        <v>Progression &amp; Reward</v>
      </c>
      <c r="B17" s="1" t="s">
        <v>511</v>
      </c>
      <c r="C17" s="1" t="s">
        <v>514</v>
      </c>
      <c r="D17" s="2" t="s">
        <v>515</v>
      </c>
      <c r="E17" s="4">
        <f>COUNTIF('4. Sub-Functions'!A:A, '3. Functions'!C17)</f>
        <v>7</v>
      </c>
    </row>
    <row r="18" spans="1:5" ht="45" x14ac:dyDescent="0.25">
      <c r="A18" s="1" t="str">
        <f>VLOOKUP(LEFT(B18, 3), '2. Function Groups'!A:B, 2, FALSE)</f>
        <v>Leaderboard &amp; PvP</v>
      </c>
      <c r="B18" s="1" t="s">
        <v>342</v>
      </c>
      <c r="C18" s="1" t="s">
        <v>21</v>
      </c>
      <c r="D18" s="2" t="s">
        <v>499</v>
      </c>
      <c r="E18" s="4">
        <f>COUNTIF('4. Sub-Functions'!A:A, '3. Functions'!C18)</f>
        <v>7</v>
      </c>
    </row>
    <row r="19" spans="1:5" ht="45" x14ac:dyDescent="0.25">
      <c r="A19" s="1" t="str">
        <f>VLOOKUP(LEFT(B19, 3), '2. Function Groups'!A:B, 2, FALSE)</f>
        <v>Leaderboard &amp; PvP</v>
      </c>
      <c r="B19" s="1" t="s">
        <v>343</v>
      </c>
      <c r="C19" s="1" t="s">
        <v>22</v>
      </c>
      <c r="D19" s="2" t="s">
        <v>500</v>
      </c>
      <c r="E19" s="4">
        <f>COUNTIF('4. Sub-Functions'!A:A, '3. Functions'!C19)</f>
        <v>5</v>
      </c>
    </row>
    <row r="20" spans="1:5" ht="45" x14ac:dyDescent="0.25">
      <c r="A20" s="1" t="str">
        <f>VLOOKUP(LEFT(B20, 3), '2. Function Groups'!A:B, 2, FALSE)</f>
        <v>Leaderboard &amp; PvP</v>
      </c>
      <c r="B20" s="1" t="s">
        <v>348</v>
      </c>
      <c r="C20" s="1" t="s">
        <v>29</v>
      </c>
      <c r="D20" s="2" t="s">
        <v>501</v>
      </c>
      <c r="E20" s="4">
        <f>COUNTIF('4. Sub-Functions'!A:A, '3. Functions'!C20)</f>
        <v>6</v>
      </c>
    </row>
    <row r="21" spans="1:5" ht="75" x14ac:dyDescent="0.25">
      <c r="A21" s="1" t="str">
        <f>VLOOKUP(LEFT(B21, 3), '2. Function Groups'!A:B, 2, FALSE)</f>
        <v>Notification &amp; Engagement</v>
      </c>
      <c r="B21" s="1" t="s">
        <v>351</v>
      </c>
      <c r="C21" s="1" t="s">
        <v>31</v>
      </c>
      <c r="D21" s="2" t="s">
        <v>521</v>
      </c>
      <c r="E21" s="4">
        <f>COUNTIF('4. Sub-Functions'!A:A, '3. Functions'!C21)</f>
        <v>4</v>
      </c>
    </row>
    <row r="22" spans="1:5" ht="45" x14ac:dyDescent="0.25">
      <c r="A22" s="1" t="str">
        <f>VLOOKUP(LEFT(B22, 3), '2. Function Groups'!A:B, 2, FALSE)</f>
        <v>Social &amp; Community</v>
      </c>
      <c r="B22" s="1" t="s">
        <v>347</v>
      </c>
      <c r="C22" s="1" t="s">
        <v>28</v>
      </c>
      <c r="D22" s="2" t="s">
        <v>502</v>
      </c>
      <c r="E22" s="4">
        <f>COUNTIF('4. Sub-Functions'!A:A, '3. Functions'!C22)</f>
        <v>8</v>
      </c>
    </row>
    <row r="23" spans="1:5" ht="45" x14ac:dyDescent="0.25">
      <c r="A23" s="1" t="str">
        <f>VLOOKUP(LEFT(B23, 3), '2. Function Groups'!A:B, 2, FALSE)</f>
        <v>Social &amp; Community</v>
      </c>
      <c r="B23" s="1" t="s">
        <v>349</v>
      </c>
      <c r="C23" s="1" t="s">
        <v>30</v>
      </c>
      <c r="D23" s="2" t="s">
        <v>503</v>
      </c>
      <c r="E23" s="4">
        <f>COUNTIF('4. Sub-Functions'!A:A, '3. Functions'!C23)</f>
        <v>6</v>
      </c>
    </row>
    <row r="24" spans="1:5" ht="45" x14ac:dyDescent="0.25">
      <c r="A24" s="1" t="str">
        <f>VLOOKUP(LEFT(B24, 3), '2. Function Groups'!A:B, 2, FALSE)</f>
        <v>Support &amp; Feedback</v>
      </c>
      <c r="B24" s="1" t="s">
        <v>350</v>
      </c>
      <c r="C24" s="1" t="s">
        <v>45</v>
      </c>
      <c r="D24" s="2" t="s">
        <v>504</v>
      </c>
      <c r="E24" s="4">
        <f>COUNTIF('4. Sub-Functions'!A:A, '3. Functions'!C24)</f>
        <v>4</v>
      </c>
    </row>
    <row r="25" spans="1:5" ht="45" x14ac:dyDescent="0.25">
      <c r="A25" s="1" t="str">
        <f>VLOOKUP(LEFT(B25, 3), '2. Function Groups'!A:B, 2, FALSE)</f>
        <v>Support &amp; Feedback</v>
      </c>
      <c r="B25" s="1" t="s">
        <v>359</v>
      </c>
      <c r="C25" s="1" t="s">
        <v>46</v>
      </c>
      <c r="D25" s="2" t="s">
        <v>505</v>
      </c>
      <c r="E25" s="4">
        <f>COUNTIF('4. Sub-Functions'!A:A, '3. Functions'!C25)</f>
        <v>3</v>
      </c>
    </row>
    <row r="26" spans="1:5" ht="45" x14ac:dyDescent="0.25">
      <c r="A26" s="1" t="str">
        <f>VLOOKUP(LEFT(B26, 3), '2. Function Groups'!A:B, 2, FALSE)</f>
        <v>Admin &amp; CMS</v>
      </c>
      <c r="B26" s="1" t="s">
        <v>352</v>
      </c>
      <c r="C26" s="1" t="s">
        <v>32</v>
      </c>
      <c r="D26" s="2" t="s">
        <v>506</v>
      </c>
      <c r="E26" s="4">
        <f>COUNTIF('4. Sub-Functions'!A:A, '3. Functions'!C26)</f>
        <v>6</v>
      </c>
    </row>
    <row r="27" spans="1:5" ht="45" x14ac:dyDescent="0.25">
      <c r="A27" s="1" t="str">
        <f>VLOOKUP(LEFT(B27, 3), '2. Function Groups'!A:B, 2, FALSE)</f>
        <v>Admin &amp; CMS</v>
      </c>
      <c r="B27" s="1" t="s">
        <v>353</v>
      </c>
      <c r="C27" s="1" t="s">
        <v>33</v>
      </c>
      <c r="D27" s="2" t="s">
        <v>507</v>
      </c>
      <c r="E27" s="4">
        <f>COUNTIF('4. Sub-Functions'!A:A, '3. Functions'!C27)</f>
        <v>6</v>
      </c>
    </row>
    <row r="28" spans="1:5" ht="60" x14ac:dyDescent="0.25">
      <c r="A28" s="1" t="str">
        <f>VLOOKUP(LEFT(B28, 3), '2. Function Groups'!A:B, 2, FALSE)</f>
        <v>Admin &amp; CMS</v>
      </c>
      <c r="B28" s="1" t="s">
        <v>354</v>
      </c>
      <c r="C28" s="1" t="s">
        <v>34</v>
      </c>
      <c r="D28" s="2" t="s">
        <v>522</v>
      </c>
      <c r="E28" s="4">
        <f>COUNTIF('4. Sub-Functions'!A:A, '3. Functions'!C28)</f>
        <v>6</v>
      </c>
    </row>
  </sheetData>
  <autoFilter ref="A1:E28" xr:uid="{6D97F737-D31D-4805-9946-F4CE219ED882}">
    <sortState xmlns:xlrd2="http://schemas.microsoft.com/office/spreadsheetml/2017/richdata2" ref="A2:E28">
      <sortCondition ref="B1:B28"/>
    </sortState>
  </autoFilter>
  <phoneticPr fontId="1" type="noConversion"/>
  <conditionalFormatting sqref="B1:B1048576">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D8B2D-69D7-46E9-BCF5-53D426C2CF4D}">
  <sheetPr filterMode="1"/>
  <dimension ref="A1:E156"/>
  <sheetViews>
    <sheetView zoomScale="85" zoomScaleNormal="85" workbookViewId="0">
      <selection activeCell="A2" sqref="A2"/>
    </sheetView>
  </sheetViews>
  <sheetFormatPr defaultRowHeight="15" x14ac:dyDescent="0.25"/>
  <cols>
    <col min="1" max="1" width="31.140625" bestFit="1" customWidth="1"/>
    <col min="2" max="2" width="22" bestFit="1" customWidth="1"/>
    <col min="3" max="3" width="33.28515625" bestFit="1" customWidth="1"/>
    <col min="4" max="4" width="146.140625" bestFit="1" customWidth="1"/>
    <col min="5" max="5" width="17.42578125" bestFit="1" customWidth="1"/>
  </cols>
  <sheetData>
    <row r="1" spans="1:5" x14ac:dyDescent="0.25">
      <c r="A1" t="s">
        <v>323</v>
      </c>
      <c r="B1" t="s">
        <v>50</v>
      </c>
      <c r="C1" t="s">
        <v>51</v>
      </c>
      <c r="D1" t="s">
        <v>17</v>
      </c>
      <c r="E1" t="s">
        <v>52</v>
      </c>
    </row>
    <row r="2" spans="1:5" x14ac:dyDescent="0.25">
      <c r="A2" t="str">
        <f>VLOOKUP(LEFT(B2, 7), '3. Functions'!B:C, 2, FALSE)</f>
        <v>User Registration / Login</v>
      </c>
      <c r="B2" t="s">
        <v>394</v>
      </c>
      <c r="C2" t="s">
        <v>139</v>
      </c>
      <c r="D2" t="s">
        <v>78</v>
      </c>
      <c r="E2" t="s">
        <v>48</v>
      </c>
    </row>
    <row r="3" spans="1:5" x14ac:dyDescent="0.25">
      <c r="A3" t="str">
        <f>VLOOKUP(LEFT(B3, 7), '3. Functions'!B:C, 2, FALSE)</f>
        <v>User Registration / Login</v>
      </c>
      <c r="B3" t="s">
        <v>395</v>
      </c>
      <c r="C3" t="s">
        <v>140</v>
      </c>
      <c r="D3" t="s">
        <v>79</v>
      </c>
      <c r="E3" t="s">
        <v>48</v>
      </c>
    </row>
    <row r="4" spans="1:5" hidden="1" x14ac:dyDescent="0.25">
      <c r="A4" t="str">
        <f>VLOOKUP(LEFT(B4, 7), '3. Functions'!B:C, 2, FALSE)</f>
        <v>User Registration / Login</v>
      </c>
      <c r="B4" t="s">
        <v>396</v>
      </c>
      <c r="C4" t="s">
        <v>141</v>
      </c>
      <c r="D4" t="s">
        <v>80</v>
      </c>
      <c r="E4" t="s">
        <v>49</v>
      </c>
    </row>
    <row r="5" spans="1:5" hidden="1" x14ac:dyDescent="0.25">
      <c r="A5" t="str">
        <f>VLOOKUP(LEFT(B5, 7), '3. Functions'!B:C, 2, FALSE)</f>
        <v>User Registration / Login</v>
      </c>
      <c r="B5" t="s">
        <v>397</v>
      </c>
      <c r="C5" t="s">
        <v>142</v>
      </c>
      <c r="D5" t="s">
        <v>81</v>
      </c>
      <c r="E5" t="s">
        <v>49</v>
      </c>
    </row>
    <row r="6" spans="1:5" x14ac:dyDescent="0.25">
      <c r="A6" t="str">
        <f>VLOOKUP(LEFT(B6, 7), '3. Functions'!B:C, 2, FALSE)</f>
        <v>User Registration / Login</v>
      </c>
      <c r="B6" t="s">
        <v>398</v>
      </c>
      <c r="C6" t="s">
        <v>143</v>
      </c>
      <c r="D6" t="s">
        <v>82</v>
      </c>
      <c r="E6" t="s">
        <v>48</v>
      </c>
    </row>
    <row r="7" spans="1:5" x14ac:dyDescent="0.25">
      <c r="A7" t="str">
        <f>VLOOKUP(LEFT(B7, 7), '3. Functions'!B:C, 2, FALSE)</f>
        <v>User Registration / Login</v>
      </c>
      <c r="B7" t="s">
        <v>399</v>
      </c>
      <c r="C7" t="s">
        <v>144</v>
      </c>
      <c r="D7" t="s">
        <v>83</v>
      </c>
      <c r="E7" t="s">
        <v>48</v>
      </c>
    </row>
    <row r="8" spans="1:5" x14ac:dyDescent="0.25">
      <c r="A8" t="str">
        <f>VLOOKUP(LEFT(B8, 7), '3. Functions'!B:C, 2, FALSE)</f>
        <v>User Registration / Login</v>
      </c>
      <c r="B8" t="s">
        <v>400</v>
      </c>
      <c r="C8" t="s">
        <v>145</v>
      </c>
      <c r="D8" t="s">
        <v>84</v>
      </c>
      <c r="E8" t="s">
        <v>48</v>
      </c>
    </row>
    <row r="9" spans="1:5" x14ac:dyDescent="0.25">
      <c r="A9" t="str">
        <f>VLOOKUP(LEFT(B9, 7), '3. Functions'!B:C, 2, FALSE)</f>
        <v>User Profile</v>
      </c>
      <c r="B9" t="s">
        <v>401</v>
      </c>
      <c r="C9" t="s">
        <v>617</v>
      </c>
      <c r="D9" t="s">
        <v>618</v>
      </c>
      <c r="E9" t="s">
        <v>48</v>
      </c>
    </row>
    <row r="10" spans="1:5" x14ac:dyDescent="0.25">
      <c r="A10" t="str">
        <f>VLOOKUP(LEFT(B10, 7), '3. Functions'!B:C, 2, FALSE)</f>
        <v>User Profile</v>
      </c>
      <c r="B10" t="s">
        <v>402</v>
      </c>
      <c r="C10" t="s">
        <v>146</v>
      </c>
      <c r="D10" t="s">
        <v>85</v>
      </c>
      <c r="E10" t="s">
        <v>48</v>
      </c>
    </row>
    <row r="11" spans="1:5" x14ac:dyDescent="0.25">
      <c r="A11" t="str">
        <f>VLOOKUP(LEFT(B11, 7), '3. Functions'!B:C, 2, FALSE)</f>
        <v>User Profile</v>
      </c>
      <c r="B11" t="s">
        <v>403</v>
      </c>
      <c r="C11" t="s">
        <v>147</v>
      </c>
      <c r="D11" t="s">
        <v>86</v>
      </c>
      <c r="E11" t="s">
        <v>48</v>
      </c>
    </row>
    <row r="12" spans="1:5" hidden="1" x14ac:dyDescent="0.25">
      <c r="A12" t="str">
        <f>VLOOKUP(LEFT(B12, 7), '3. Functions'!B:C, 2, FALSE)</f>
        <v>User Profile</v>
      </c>
      <c r="B12" t="s">
        <v>404</v>
      </c>
      <c r="C12" t="s">
        <v>148</v>
      </c>
      <c r="D12" t="s">
        <v>87</v>
      </c>
      <c r="E12" t="s">
        <v>49</v>
      </c>
    </row>
    <row r="13" spans="1:5" x14ac:dyDescent="0.25">
      <c r="A13" t="str">
        <f>VLOOKUP(LEFT(B13, 7), '3. Functions'!B:C, 2, FALSE)</f>
        <v>Daily Quiz</v>
      </c>
      <c r="B13" t="s">
        <v>366</v>
      </c>
      <c r="C13" t="s">
        <v>112</v>
      </c>
      <c r="D13" t="s">
        <v>53</v>
      </c>
      <c r="E13" t="s">
        <v>48</v>
      </c>
    </row>
    <row r="14" spans="1:5" x14ac:dyDescent="0.25">
      <c r="A14" t="str">
        <f>VLOOKUP(LEFT(B14, 7), '3. Functions'!B:C, 2, FALSE)</f>
        <v>Daily Quiz</v>
      </c>
      <c r="B14" t="s">
        <v>367</v>
      </c>
      <c r="C14" t="s">
        <v>113</v>
      </c>
      <c r="D14" t="s">
        <v>54</v>
      </c>
      <c r="E14" t="s">
        <v>48</v>
      </c>
    </row>
    <row r="15" spans="1:5" x14ac:dyDescent="0.25">
      <c r="A15" t="str">
        <f>VLOOKUP(LEFT(B15, 7), '3. Functions'!B:C, 2, FALSE)</f>
        <v>Daily Quiz</v>
      </c>
      <c r="B15" t="s">
        <v>368</v>
      </c>
      <c r="C15" t="s">
        <v>114</v>
      </c>
      <c r="D15" t="s">
        <v>589</v>
      </c>
      <c r="E15" t="s">
        <v>48</v>
      </c>
    </row>
    <row r="16" spans="1:5" hidden="1" x14ac:dyDescent="0.25">
      <c r="A16" t="str">
        <f>VLOOKUP(LEFT(B16, 7), '3. Functions'!B:C, 2, FALSE)</f>
        <v>Daily Quiz</v>
      </c>
      <c r="B16" t="s">
        <v>369</v>
      </c>
      <c r="C16" t="s">
        <v>115</v>
      </c>
      <c r="D16" t="s">
        <v>116</v>
      </c>
      <c r="E16" t="s">
        <v>49</v>
      </c>
    </row>
    <row r="17" spans="1:5" x14ac:dyDescent="0.25">
      <c r="A17" t="str">
        <f>VLOOKUP(LEFT(B17, 7), '3. Functions'!B:C, 2, FALSE)</f>
        <v>Daily Quiz</v>
      </c>
      <c r="B17" t="s">
        <v>370</v>
      </c>
      <c r="C17" t="s">
        <v>117</v>
      </c>
      <c r="D17" t="s">
        <v>55</v>
      </c>
      <c r="E17" t="s">
        <v>48</v>
      </c>
    </row>
    <row r="18" spans="1:5" x14ac:dyDescent="0.25">
      <c r="A18" t="str">
        <f>VLOOKUP(LEFT(B18, 7), '3. Functions'!B:C, 2, FALSE)</f>
        <v>Level Quiz</v>
      </c>
      <c r="B18" t="s">
        <v>371</v>
      </c>
      <c r="C18" t="s">
        <v>118</v>
      </c>
      <c r="D18" t="s">
        <v>56</v>
      </c>
      <c r="E18" t="s">
        <v>48</v>
      </c>
    </row>
    <row r="19" spans="1:5" x14ac:dyDescent="0.25">
      <c r="A19" t="str">
        <f>VLOOKUP(LEFT(B19, 7), '3. Functions'!B:C, 2, FALSE)</f>
        <v>Level Quiz</v>
      </c>
      <c r="B19" t="s">
        <v>372</v>
      </c>
      <c r="C19" t="s">
        <v>119</v>
      </c>
      <c r="D19" t="s">
        <v>57</v>
      </c>
      <c r="E19" t="s">
        <v>48</v>
      </c>
    </row>
    <row r="20" spans="1:5" x14ac:dyDescent="0.25">
      <c r="A20" t="str">
        <f>VLOOKUP(LEFT(B20, 7), '3. Functions'!B:C, 2, FALSE)</f>
        <v>Level Quiz</v>
      </c>
      <c r="B20" t="s">
        <v>373</v>
      </c>
      <c r="C20" t="s">
        <v>114</v>
      </c>
      <c r="D20" t="s">
        <v>58</v>
      </c>
      <c r="E20" t="s">
        <v>48</v>
      </c>
    </row>
    <row r="21" spans="1:5" x14ac:dyDescent="0.25">
      <c r="A21" t="str">
        <f>VLOOKUP(LEFT(B21, 7), '3. Functions'!B:C, 2, FALSE)</f>
        <v>Level Quiz</v>
      </c>
      <c r="B21" t="s">
        <v>374</v>
      </c>
      <c r="C21" t="s">
        <v>120</v>
      </c>
      <c r="D21" t="s">
        <v>59</v>
      </c>
      <c r="E21" t="s">
        <v>48</v>
      </c>
    </row>
    <row r="22" spans="1:5" x14ac:dyDescent="0.25">
      <c r="A22" t="str">
        <f>VLOOKUP(LEFT(B22, 7), '3. Functions'!B:C, 2, FALSE)</f>
        <v>Level Quiz</v>
      </c>
      <c r="B22" t="s">
        <v>375</v>
      </c>
      <c r="C22" t="s">
        <v>121</v>
      </c>
      <c r="D22" t="s">
        <v>60</v>
      </c>
      <c r="E22" t="s">
        <v>48</v>
      </c>
    </row>
    <row r="23" spans="1:5" x14ac:dyDescent="0.25">
      <c r="A23" t="str">
        <f>VLOOKUP(LEFT(B23, 7), '3. Functions'!B:C, 2, FALSE)</f>
        <v>Level Quiz</v>
      </c>
      <c r="B23" t="s">
        <v>376</v>
      </c>
      <c r="C23" t="s">
        <v>117</v>
      </c>
      <c r="D23" t="s">
        <v>61</v>
      </c>
      <c r="E23" t="s">
        <v>48</v>
      </c>
    </row>
    <row r="24" spans="1:5" x14ac:dyDescent="0.25">
      <c r="A24" t="str">
        <f>VLOOKUP(LEFT(B24, 7), '3. Functions'!B:C, 2, FALSE)</f>
        <v>Mini Game</v>
      </c>
      <c r="B24" t="s">
        <v>377</v>
      </c>
      <c r="C24" t="s">
        <v>122</v>
      </c>
      <c r="D24" t="s">
        <v>62</v>
      </c>
      <c r="E24" t="s">
        <v>48</v>
      </c>
    </row>
    <row r="25" spans="1:5" x14ac:dyDescent="0.25">
      <c r="A25" t="str">
        <f>VLOOKUP(LEFT(B25, 7), '3. Functions'!B:C, 2, FALSE)</f>
        <v>Mini Game</v>
      </c>
      <c r="B25" t="s">
        <v>378</v>
      </c>
      <c r="C25" t="s">
        <v>123</v>
      </c>
      <c r="D25" t="s">
        <v>63</v>
      </c>
      <c r="E25" t="s">
        <v>48</v>
      </c>
    </row>
    <row r="26" spans="1:5" x14ac:dyDescent="0.25">
      <c r="A26" t="str">
        <f>VLOOKUP(LEFT(B26, 7), '3. Functions'!B:C, 2, FALSE)</f>
        <v>Mini Game</v>
      </c>
      <c r="B26" t="s">
        <v>379</v>
      </c>
      <c r="C26" t="s">
        <v>124</v>
      </c>
      <c r="D26" t="s">
        <v>297</v>
      </c>
      <c r="E26" t="s">
        <v>48</v>
      </c>
    </row>
    <row r="27" spans="1:5" x14ac:dyDescent="0.25">
      <c r="A27" t="str">
        <f>VLOOKUP(LEFT(B27, 7), '3. Functions'!B:C, 2, FALSE)</f>
        <v>Mini Game</v>
      </c>
      <c r="B27" t="s">
        <v>380</v>
      </c>
      <c r="C27" t="s">
        <v>125</v>
      </c>
      <c r="D27" t="s">
        <v>64</v>
      </c>
      <c r="E27" t="s">
        <v>48</v>
      </c>
    </row>
    <row r="28" spans="1:5" hidden="1" x14ac:dyDescent="0.25">
      <c r="A28" t="str">
        <f>VLOOKUP(LEFT(B28, 7), '3. Functions'!B:C, 2, FALSE)</f>
        <v>Mini Game</v>
      </c>
      <c r="B28" t="s">
        <v>381</v>
      </c>
      <c r="C28" t="s">
        <v>126</v>
      </c>
      <c r="D28" t="s">
        <v>65</v>
      </c>
      <c r="E28" t="s">
        <v>49</v>
      </c>
    </row>
    <row r="29" spans="1:5" x14ac:dyDescent="0.25">
      <c r="A29" t="str">
        <f>VLOOKUP(LEFT(B29, 7), '3. Functions'!B:C, 2, FALSE)</f>
        <v>Quick Calculate</v>
      </c>
      <c r="B29" t="s">
        <v>594</v>
      </c>
      <c r="C29" t="s">
        <v>595</v>
      </c>
      <c r="D29" t="s">
        <v>596</v>
      </c>
      <c r="E29" t="s">
        <v>48</v>
      </c>
    </row>
    <row r="30" spans="1:5" x14ac:dyDescent="0.25">
      <c r="A30" t="str">
        <f>VLOOKUP(LEFT(B30, 7), '3. Functions'!B:C, 2, FALSE)</f>
        <v>Quick Calculate</v>
      </c>
      <c r="B30" t="s">
        <v>597</v>
      </c>
      <c r="C30" t="s">
        <v>598</v>
      </c>
      <c r="D30" t="s">
        <v>599</v>
      </c>
      <c r="E30" t="s">
        <v>48</v>
      </c>
    </row>
    <row r="31" spans="1:5" x14ac:dyDescent="0.25">
      <c r="A31" t="str">
        <f>VLOOKUP(LEFT(B31, 7), '3. Functions'!B:C, 2, FALSE)</f>
        <v>Quick Calculate</v>
      </c>
      <c r="B31" t="s">
        <v>600</v>
      </c>
      <c r="C31" t="s">
        <v>601</v>
      </c>
      <c r="D31" t="s">
        <v>602</v>
      </c>
      <c r="E31" t="s">
        <v>48</v>
      </c>
    </row>
    <row r="32" spans="1:5" x14ac:dyDescent="0.25">
      <c r="A32" t="str">
        <f>VLOOKUP(LEFT(B32, 7), '3. Functions'!B:C, 2, FALSE)</f>
        <v>Quick Calculate</v>
      </c>
      <c r="B32" t="s">
        <v>603</v>
      </c>
      <c r="C32" t="s">
        <v>604</v>
      </c>
      <c r="D32" t="s">
        <v>605</v>
      </c>
      <c r="E32" t="s">
        <v>48</v>
      </c>
    </row>
    <row r="33" spans="1:5" x14ac:dyDescent="0.25">
      <c r="A33" t="str">
        <f>VLOOKUP(LEFT(B33, 7), '3. Functions'!B:C, 2, FALSE)</f>
        <v>Quick Calculate</v>
      </c>
      <c r="B33" t="s">
        <v>606</v>
      </c>
      <c r="C33" t="s">
        <v>590</v>
      </c>
      <c r="D33" t="s">
        <v>607</v>
      </c>
      <c r="E33" t="s">
        <v>48</v>
      </c>
    </row>
    <row r="34" spans="1:5" x14ac:dyDescent="0.25">
      <c r="A34" t="str">
        <f>VLOOKUP(LEFT(B34, 7), '3. Functions'!B:C, 2, FALSE)</f>
        <v>Quick Calculate</v>
      </c>
      <c r="B34" t="s">
        <v>608</v>
      </c>
      <c r="C34" t="s">
        <v>609</v>
      </c>
      <c r="D34" t="s">
        <v>610</v>
      </c>
      <c r="E34" t="s">
        <v>48</v>
      </c>
    </row>
    <row r="35" spans="1:5" x14ac:dyDescent="0.25">
      <c r="A35" t="str">
        <f>VLOOKUP(LEFT(B35, 7), '3. Functions'!B:C, 2, FALSE)</f>
        <v>Quick Calculate</v>
      </c>
      <c r="B35" t="s">
        <v>611</v>
      </c>
      <c r="C35" t="s">
        <v>612</v>
      </c>
      <c r="D35" t="s">
        <v>613</v>
      </c>
      <c r="E35" t="s">
        <v>48</v>
      </c>
    </row>
    <row r="36" spans="1:5" x14ac:dyDescent="0.25">
      <c r="A36" t="str">
        <f>VLOOKUP(LEFT(B36, 7), '3. Functions'!B:C, 2, FALSE)</f>
        <v>Quick Calculate</v>
      </c>
      <c r="B36" t="s">
        <v>614</v>
      </c>
      <c r="C36" t="s">
        <v>615</v>
      </c>
      <c r="D36" t="s">
        <v>616</v>
      </c>
      <c r="E36" t="s">
        <v>48</v>
      </c>
    </row>
    <row r="37" spans="1:5" hidden="1" x14ac:dyDescent="0.25">
      <c r="A37" t="str">
        <f>VLOOKUP(LEFT(B37, 7), '3. Functions'!B:C, 2, FALSE)</f>
        <v>Avatar &amp; Frame Customization</v>
      </c>
      <c r="B37" t="s">
        <v>405</v>
      </c>
      <c r="C37" t="s">
        <v>149</v>
      </c>
      <c r="D37" t="s">
        <v>150</v>
      </c>
      <c r="E37" t="s">
        <v>49</v>
      </c>
    </row>
    <row r="38" spans="1:5" hidden="1" x14ac:dyDescent="0.25">
      <c r="A38" t="str">
        <f>VLOOKUP(LEFT(B38, 7), '3. Functions'!B:C, 2, FALSE)</f>
        <v>Avatar &amp; Frame Customization</v>
      </c>
      <c r="B38" t="s">
        <v>406</v>
      </c>
      <c r="C38" t="s">
        <v>151</v>
      </c>
      <c r="D38" t="s">
        <v>152</v>
      </c>
      <c r="E38" t="s">
        <v>49</v>
      </c>
    </row>
    <row r="39" spans="1:5" hidden="1" x14ac:dyDescent="0.25">
      <c r="A39" t="str">
        <f>VLOOKUP(LEFT(B39, 7), '3. Functions'!B:C, 2, FALSE)</f>
        <v>Avatar &amp; Frame Customization</v>
      </c>
      <c r="B39" t="s">
        <v>407</v>
      </c>
      <c r="C39" t="s">
        <v>153</v>
      </c>
      <c r="D39" t="s">
        <v>154</v>
      </c>
      <c r="E39" t="s">
        <v>49</v>
      </c>
    </row>
    <row r="40" spans="1:5" hidden="1" x14ac:dyDescent="0.25">
      <c r="A40" t="str">
        <f>VLOOKUP(LEFT(B40, 7), '3. Functions'!B:C, 2, FALSE)</f>
        <v>Avatar &amp; Frame Customization</v>
      </c>
      <c r="B40" t="s">
        <v>408</v>
      </c>
      <c r="C40" t="s">
        <v>155</v>
      </c>
      <c r="D40" t="s">
        <v>156</v>
      </c>
      <c r="E40" t="s">
        <v>49</v>
      </c>
    </row>
    <row r="41" spans="1:5" hidden="1" x14ac:dyDescent="0.25">
      <c r="A41" t="str">
        <f>VLOOKUP(LEFT(B41, 7), '3. Functions'!B:C, 2, FALSE)</f>
        <v>Avatar &amp; Frame Customization</v>
      </c>
      <c r="B41" t="s">
        <v>409</v>
      </c>
      <c r="C41" t="s">
        <v>157</v>
      </c>
      <c r="D41" t="s">
        <v>158</v>
      </c>
      <c r="E41" t="s">
        <v>49</v>
      </c>
    </row>
    <row r="42" spans="1:5" hidden="1" x14ac:dyDescent="0.25">
      <c r="A42" t="str">
        <f>VLOOKUP(LEFT(B42, 7), '3. Functions'!B:C, 2, FALSE)</f>
        <v>Avatar &amp; Frame Customization</v>
      </c>
      <c r="B42" t="s">
        <v>410</v>
      </c>
      <c r="C42" t="s">
        <v>159</v>
      </c>
      <c r="D42" t="s">
        <v>160</v>
      </c>
      <c r="E42" t="s">
        <v>49</v>
      </c>
    </row>
    <row r="43" spans="1:5" hidden="1" x14ac:dyDescent="0.25">
      <c r="A43" t="str">
        <f>VLOOKUP(LEFT(B43, 7), '3. Functions'!B:C, 2, FALSE)</f>
        <v>Avatar &amp; Frame Customization</v>
      </c>
      <c r="B43" t="s">
        <v>411</v>
      </c>
      <c r="C43" t="s">
        <v>161</v>
      </c>
      <c r="D43" t="s">
        <v>162</v>
      </c>
      <c r="E43" t="s">
        <v>49</v>
      </c>
    </row>
    <row r="44" spans="1:5" hidden="1" x14ac:dyDescent="0.25">
      <c r="A44" t="str">
        <f>VLOOKUP(LEFT(B44, 7), '3. Functions'!B:C, 2, FALSE)</f>
        <v>Avatar &amp; Frame Customization</v>
      </c>
      <c r="B44" t="s">
        <v>412</v>
      </c>
      <c r="C44" t="s">
        <v>163</v>
      </c>
      <c r="D44" t="s">
        <v>164</v>
      </c>
      <c r="E44" t="s">
        <v>49</v>
      </c>
    </row>
    <row r="45" spans="1:5" hidden="1" x14ac:dyDescent="0.25">
      <c r="A45" t="str">
        <f>VLOOKUP(LEFT(B45, 7), '3. Functions'!B:C, 2, FALSE)</f>
        <v>Wallet / Currency Manager</v>
      </c>
      <c r="B45" t="s">
        <v>413</v>
      </c>
      <c r="C45" t="s">
        <v>165</v>
      </c>
      <c r="D45" t="s">
        <v>88</v>
      </c>
      <c r="E45" t="s">
        <v>49</v>
      </c>
    </row>
    <row r="46" spans="1:5" hidden="1" x14ac:dyDescent="0.25">
      <c r="A46" t="str">
        <f>VLOOKUP(LEFT(B46, 7), '3. Functions'!B:C, 2, FALSE)</f>
        <v>Wallet / Currency Manager</v>
      </c>
      <c r="B46" t="s">
        <v>414</v>
      </c>
      <c r="C46" t="s">
        <v>166</v>
      </c>
      <c r="D46" t="s">
        <v>89</v>
      </c>
      <c r="E46" t="s">
        <v>49</v>
      </c>
    </row>
    <row r="47" spans="1:5" hidden="1" x14ac:dyDescent="0.25">
      <c r="A47" t="str">
        <f>VLOOKUP(LEFT(B47, 7), '3. Functions'!B:C, 2, FALSE)</f>
        <v>Wallet / Currency Manager</v>
      </c>
      <c r="B47" t="s">
        <v>415</v>
      </c>
      <c r="C47" t="s">
        <v>167</v>
      </c>
      <c r="D47" t="s">
        <v>90</v>
      </c>
      <c r="E47" t="s">
        <v>49</v>
      </c>
    </row>
    <row r="48" spans="1:5" hidden="1" x14ac:dyDescent="0.25">
      <c r="A48" t="str">
        <f>VLOOKUP(LEFT(B48, 7), '3. Functions'!B:C, 2, FALSE)</f>
        <v>Wallet / Currency Manager</v>
      </c>
      <c r="B48" t="s">
        <v>416</v>
      </c>
      <c r="C48" t="s">
        <v>168</v>
      </c>
      <c r="D48" t="s">
        <v>91</v>
      </c>
      <c r="E48" t="s">
        <v>49</v>
      </c>
    </row>
    <row r="49" spans="1:5" hidden="1" x14ac:dyDescent="0.25">
      <c r="A49" t="str">
        <f>VLOOKUP(LEFT(B49, 7), '3. Functions'!B:C, 2, FALSE)</f>
        <v>Wallet / Currency Manager</v>
      </c>
      <c r="B49" t="s">
        <v>417</v>
      </c>
      <c r="C49" t="s">
        <v>169</v>
      </c>
      <c r="D49" t="s">
        <v>92</v>
      </c>
      <c r="E49" t="s">
        <v>49</v>
      </c>
    </row>
    <row r="50" spans="1:5" hidden="1" x14ac:dyDescent="0.25">
      <c r="A50" t="str">
        <f>VLOOKUP(LEFT(B50, 7), '3. Functions'!B:C, 2, FALSE)</f>
        <v>Wallet / Currency Manager</v>
      </c>
      <c r="B50" t="s">
        <v>418</v>
      </c>
      <c r="C50" t="s">
        <v>170</v>
      </c>
      <c r="D50" t="s">
        <v>93</v>
      </c>
      <c r="E50" t="s">
        <v>49</v>
      </c>
    </row>
    <row r="51" spans="1:5" hidden="1" x14ac:dyDescent="0.25">
      <c r="A51" t="str">
        <f>VLOOKUP(LEFT(B51, 7), '3. Functions'!B:C, 2, FALSE)</f>
        <v>Shop</v>
      </c>
      <c r="B51" t="s">
        <v>419</v>
      </c>
      <c r="C51" t="s">
        <v>171</v>
      </c>
      <c r="D51" t="s">
        <v>172</v>
      </c>
      <c r="E51" t="s">
        <v>49</v>
      </c>
    </row>
    <row r="52" spans="1:5" hidden="1" x14ac:dyDescent="0.25">
      <c r="A52" t="str">
        <f>VLOOKUP(LEFT(B52, 7), '3. Functions'!B:C, 2, FALSE)</f>
        <v>Shop</v>
      </c>
      <c r="B52" t="s">
        <v>420</v>
      </c>
      <c r="C52" t="s">
        <v>173</v>
      </c>
      <c r="D52" t="s">
        <v>174</v>
      </c>
      <c r="E52" t="s">
        <v>49</v>
      </c>
    </row>
    <row r="53" spans="1:5" hidden="1" x14ac:dyDescent="0.25">
      <c r="A53" t="str">
        <f>VLOOKUP(LEFT(B53, 7), '3. Functions'!B:C, 2, FALSE)</f>
        <v>Shop</v>
      </c>
      <c r="B53" t="s">
        <v>421</v>
      </c>
      <c r="C53" t="s">
        <v>175</v>
      </c>
      <c r="D53" t="s">
        <v>176</v>
      </c>
      <c r="E53" t="s">
        <v>49</v>
      </c>
    </row>
    <row r="54" spans="1:5" hidden="1" x14ac:dyDescent="0.25">
      <c r="A54" t="str">
        <f>VLOOKUP(LEFT(B54, 7), '3. Functions'!B:C, 2, FALSE)</f>
        <v>Shop</v>
      </c>
      <c r="B54" t="s">
        <v>422</v>
      </c>
      <c r="C54" t="s">
        <v>177</v>
      </c>
      <c r="D54" t="s">
        <v>178</v>
      </c>
      <c r="E54" t="s">
        <v>49</v>
      </c>
    </row>
    <row r="55" spans="1:5" hidden="1" x14ac:dyDescent="0.25">
      <c r="A55" t="str">
        <f>VLOOKUP(LEFT(B55, 7), '3. Functions'!B:C, 2, FALSE)</f>
        <v>Shop</v>
      </c>
      <c r="B55" t="s">
        <v>423</v>
      </c>
      <c r="C55" t="s">
        <v>179</v>
      </c>
      <c r="D55" t="s">
        <v>180</v>
      </c>
      <c r="E55" t="s">
        <v>49</v>
      </c>
    </row>
    <row r="56" spans="1:5" hidden="1" x14ac:dyDescent="0.25">
      <c r="A56" t="str">
        <f>VLOOKUP(LEFT(B56, 7), '3. Functions'!B:C, 2, FALSE)</f>
        <v>Shop</v>
      </c>
      <c r="B56" t="s">
        <v>424</v>
      </c>
      <c r="C56" t="s">
        <v>181</v>
      </c>
      <c r="D56" t="s">
        <v>182</v>
      </c>
      <c r="E56" t="s">
        <v>49</v>
      </c>
    </row>
    <row r="57" spans="1:5" hidden="1" x14ac:dyDescent="0.25">
      <c r="A57" t="str">
        <f>VLOOKUP(LEFT(B57, 7), '3. Functions'!B:C, 2, FALSE)</f>
        <v>Shop</v>
      </c>
      <c r="B57" t="s">
        <v>425</v>
      </c>
      <c r="C57" t="s">
        <v>183</v>
      </c>
      <c r="D57" t="s">
        <v>184</v>
      </c>
      <c r="E57" t="s">
        <v>49</v>
      </c>
    </row>
    <row r="58" spans="1:5" hidden="1" x14ac:dyDescent="0.25">
      <c r="A58" t="str">
        <f>VLOOKUP(LEFT(B58, 7), '3. Functions'!B:C, 2, FALSE)</f>
        <v>App Settings</v>
      </c>
      <c r="B58" t="s">
        <v>473</v>
      </c>
      <c r="C58" t="s">
        <v>264</v>
      </c>
      <c r="D58" t="s">
        <v>265</v>
      </c>
      <c r="E58" t="s">
        <v>49</v>
      </c>
    </row>
    <row r="59" spans="1:5" hidden="1" x14ac:dyDescent="0.25">
      <c r="A59" t="str">
        <f>VLOOKUP(LEFT(B59, 7), '3. Functions'!B:C, 2, FALSE)</f>
        <v>App Settings</v>
      </c>
      <c r="B59" t="s">
        <v>474</v>
      </c>
      <c r="C59" t="s">
        <v>266</v>
      </c>
      <c r="D59" t="s">
        <v>267</v>
      </c>
      <c r="E59" t="s">
        <v>49</v>
      </c>
    </row>
    <row r="60" spans="1:5" hidden="1" x14ac:dyDescent="0.25">
      <c r="A60" t="str">
        <f>VLOOKUP(LEFT(B60, 7), '3. Functions'!B:C, 2, FALSE)</f>
        <v>App Settings</v>
      </c>
      <c r="B60" t="s">
        <v>475</v>
      </c>
      <c r="C60" t="s">
        <v>268</v>
      </c>
      <c r="D60" t="s">
        <v>269</v>
      </c>
      <c r="E60" t="s">
        <v>49</v>
      </c>
    </row>
    <row r="61" spans="1:5" hidden="1" x14ac:dyDescent="0.25">
      <c r="A61" t="str">
        <f>VLOOKUP(LEFT(B61, 7), '3. Functions'!B:C, 2, FALSE)</f>
        <v>App Settings</v>
      </c>
      <c r="B61" t="s">
        <v>476</v>
      </c>
      <c r="C61" t="s">
        <v>270</v>
      </c>
      <c r="D61" t="s">
        <v>271</v>
      </c>
      <c r="E61" t="s">
        <v>49</v>
      </c>
    </row>
    <row r="62" spans="1:5" hidden="1" x14ac:dyDescent="0.25">
      <c r="A62" t="str">
        <f>VLOOKUP(LEFT(B62, 7), '3. Functions'!B:C, 2, FALSE)</f>
        <v>Privacy Settings</v>
      </c>
      <c r="B62" t="s">
        <v>477</v>
      </c>
      <c r="C62" t="s">
        <v>272</v>
      </c>
      <c r="D62" t="s">
        <v>273</v>
      </c>
      <c r="E62" t="s">
        <v>49</v>
      </c>
    </row>
    <row r="63" spans="1:5" hidden="1" x14ac:dyDescent="0.25">
      <c r="A63" t="str">
        <f>VLOOKUP(LEFT(B63, 7), '3. Functions'!B:C, 2, FALSE)</f>
        <v>Privacy Settings</v>
      </c>
      <c r="B63" t="s">
        <v>478</v>
      </c>
      <c r="C63" t="s">
        <v>274</v>
      </c>
      <c r="D63" t="s">
        <v>275</v>
      </c>
      <c r="E63" t="s">
        <v>49</v>
      </c>
    </row>
    <row r="64" spans="1:5" hidden="1" x14ac:dyDescent="0.25">
      <c r="A64" t="str">
        <f>VLOOKUP(LEFT(B64, 7), '3. Functions'!B:C, 2, FALSE)</f>
        <v>Privacy Settings</v>
      </c>
      <c r="B64" t="s">
        <v>479</v>
      </c>
      <c r="C64" t="s">
        <v>276</v>
      </c>
      <c r="D64" t="s">
        <v>277</v>
      </c>
      <c r="E64" t="s">
        <v>49</v>
      </c>
    </row>
    <row r="65" spans="1:5" hidden="1" x14ac:dyDescent="0.25">
      <c r="A65" t="str">
        <f>VLOOKUP(LEFT(B65, 7), '3. Functions'!B:C, 2, FALSE)</f>
        <v>Privacy Settings</v>
      </c>
      <c r="B65" t="s">
        <v>480</v>
      </c>
      <c r="C65" t="s">
        <v>278</v>
      </c>
      <c r="D65" t="s">
        <v>279</v>
      </c>
      <c r="E65" t="s">
        <v>49</v>
      </c>
    </row>
    <row r="66" spans="1:5" x14ac:dyDescent="0.25">
      <c r="A66" t="str">
        <f>VLOOKUP(LEFT(B66, 7), '3. Functions'!B:C, 2, FALSE)</f>
        <v>Terms &amp; Policy</v>
      </c>
      <c r="B66" t="s">
        <v>488</v>
      </c>
      <c r="C66" t="s">
        <v>294</v>
      </c>
      <c r="D66" t="s">
        <v>109</v>
      </c>
      <c r="E66" t="s">
        <v>48</v>
      </c>
    </row>
    <row r="67" spans="1:5" x14ac:dyDescent="0.25">
      <c r="A67" t="str">
        <f>VLOOKUP(LEFT(B67, 7), '3. Functions'!B:C, 2, FALSE)</f>
        <v>Terms &amp; Policy</v>
      </c>
      <c r="B67" t="s">
        <v>489</v>
      </c>
      <c r="C67" t="s">
        <v>295</v>
      </c>
      <c r="D67" t="s">
        <v>110</v>
      </c>
      <c r="E67" t="s">
        <v>48</v>
      </c>
    </row>
    <row r="68" spans="1:5" x14ac:dyDescent="0.25">
      <c r="A68" t="str">
        <f>VLOOKUP(LEFT(B68, 7), '3. Functions'!B:C, 2, FALSE)</f>
        <v>Terms &amp; Policy</v>
      </c>
      <c r="B68" t="s">
        <v>490</v>
      </c>
      <c r="C68" t="s">
        <v>296</v>
      </c>
      <c r="D68" t="s">
        <v>111</v>
      </c>
      <c r="E68" t="s">
        <v>48</v>
      </c>
    </row>
    <row r="69" spans="1:5" x14ac:dyDescent="0.25">
      <c r="A69" t="str">
        <f>VLOOKUP(LEFT(B69, 7), '3. Functions'!B:C, 2, FALSE)</f>
        <v>Analytics Dashboard</v>
      </c>
      <c r="B69" t="s">
        <v>468</v>
      </c>
      <c r="C69" t="s">
        <v>259</v>
      </c>
      <c r="D69" t="s">
        <v>104</v>
      </c>
      <c r="E69" t="s">
        <v>48</v>
      </c>
    </row>
    <row r="70" spans="1:5" x14ac:dyDescent="0.25">
      <c r="A70" t="str">
        <f>VLOOKUP(LEFT(B70, 7), '3. Functions'!B:C, 2, FALSE)</f>
        <v>Analytics Dashboard</v>
      </c>
      <c r="B70" t="s">
        <v>469</v>
      </c>
      <c r="C70" t="s">
        <v>260</v>
      </c>
      <c r="D70" t="s">
        <v>105</v>
      </c>
      <c r="E70" t="s">
        <v>48</v>
      </c>
    </row>
    <row r="71" spans="1:5" hidden="1" x14ac:dyDescent="0.25">
      <c r="A71" t="str">
        <f>VLOOKUP(LEFT(B71, 7), '3. Functions'!B:C, 2, FALSE)</f>
        <v>Analytics Dashboard</v>
      </c>
      <c r="B71" t="s">
        <v>470</v>
      </c>
      <c r="C71" t="s">
        <v>261</v>
      </c>
      <c r="D71" t="s">
        <v>106</v>
      </c>
      <c r="E71" t="s">
        <v>49</v>
      </c>
    </row>
    <row r="72" spans="1:5" x14ac:dyDescent="0.25">
      <c r="A72" t="str">
        <f>VLOOKUP(LEFT(B72, 7), '3. Functions'!B:C, 2, FALSE)</f>
        <v>Analytics Dashboard</v>
      </c>
      <c r="B72" t="s">
        <v>471</v>
      </c>
      <c r="C72" t="s">
        <v>262</v>
      </c>
      <c r="D72" t="s">
        <v>107</v>
      </c>
      <c r="E72" t="s">
        <v>48</v>
      </c>
    </row>
    <row r="73" spans="1:5" x14ac:dyDescent="0.25">
      <c r="A73" t="str">
        <f>VLOOKUP(LEFT(B73, 7), '3. Functions'!B:C, 2, FALSE)</f>
        <v>Analytics Dashboard</v>
      </c>
      <c r="B73" t="s">
        <v>472</v>
      </c>
      <c r="C73" t="s">
        <v>263</v>
      </c>
      <c r="D73" t="s">
        <v>108</v>
      </c>
      <c r="E73" t="s">
        <v>48</v>
      </c>
    </row>
    <row r="74" spans="1:5" x14ac:dyDescent="0.25">
      <c r="A74" t="str">
        <f>VLOOKUP(LEFT(B74, 7), '3. Functions'!B:C, 2, FALSE)</f>
        <v>Reward &amp; Progression System</v>
      </c>
      <c r="B74" t="s">
        <v>523</v>
      </c>
      <c r="C74" t="s">
        <v>524</v>
      </c>
      <c r="D74" t="s">
        <v>525</v>
      </c>
      <c r="E74" t="s">
        <v>48</v>
      </c>
    </row>
    <row r="75" spans="1:5" x14ac:dyDescent="0.25">
      <c r="A75" t="str">
        <f>VLOOKUP(LEFT(B75, 7), '3. Functions'!B:C, 2, FALSE)</f>
        <v>Reward &amp; Progression System</v>
      </c>
      <c r="B75" t="s">
        <v>526</v>
      </c>
      <c r="C75" t="s">
        <v>527</v>
      </c>
      <c r="D75" t="s">
        <v>528</v>
      </c>
      <c r="E75" t="s">
        <v>48</v>
      </c>
    </row>
    <row r="76" spans="1:5" x14ac:dyDescent="0.25">
      <c r="A76" t="str">
        <f>VLOOKUP(LEFT(B76, 7), '3. Functions'!B:C, 2, FALSE)</f>
        <v>Reward &amp; Progression System</v>
      </c>
      <c r="B76" t="s">
        <v>529</v>
      </c>
      <c r="C76" t="s">
        <v>530</v>
      </c>
      <c r="D76" t="s">
        <v>531</v>
      </c>
      <c r="E76" t="s">
        <v>48</v>
      </c>
    </row>
    <row r="77" spans="1:5" x14ac:dyDescent="0.25">
      <c r="A77" t="str">
        <f>VLOOKUP(LEFT(B77, 7), '3. Functions'!B:C, 2, FALSE)</f>
        <v>Reward &amp; Progression System</v>
      </c>
      <c r="B77" t="s">
        <v>532</v>
      </c>
      <c r="C77" t="s">
        <v>533</v>
      </c>
      <c r="D77" t="s">
        <v>534</v>
      </c>
      <c r="E77" t="s">
        <v>48</v>
      </c>
    </row>
    <row r="78" spans="1:5" hidden="1" x14ac:dyDescent="0.25">
      <c r="A78" t="str">
        <f>VLOOKUP(LEFT(B78, 7), '3. Functions'!B:C, 2, FALSE)</f>
        <v>Reward &amp; Progression System</v>
      </c>
      <c r="B78" t="s">
        <v>535</v>
      </c>
      <c r="C78" t="s">
        <v>536</v>
      </c>
      <c r="D78" t="s">
        <v>537</v>
      </c>
      <c r="E78" t="s">
        <v>49</v>
      </c>
    </row>
    <row r="79" spans="1:5" x14ac:dyDescent="0.25">
      <c r="A79" t="str">
        <f>VLOOKUP(LEFT(B79, 7), '3. Functions'!B:C, 2, FALSE)</f>
        <v>Reward &amp; Progression System</v>
      </c>
      <c r="B79" t="s">
        <v>538</v>
      </c>
      <c r="C79" t="s">
        <v>539</v>
      </c>
      <c r="D79" t="s">
        <v>540</v>
      </c>
      <c r="E79" t="s">
        <v>48</v>
      </c>
    </row>
    <row r="80" spans="1:5" x14ac:dyDescent="0.25">
      <c r="A80" t="str">
        <f>VLOOKUP(LEFT(B80, 7), '3. Functions'!B:C, 2, FALSE)</f>
        <v>Reward &amp; Progression System</v>
      </c>
      <c r="B80" t="s">
        <v>541</v>
      </c>
      <c r="C80" t="s">
        <v>542</v>
      </c>
      <c r="D80" t="s">
        <v>543</v>
      </c>
      <c r="E80" t="s">
        <v>48</v>
      </c>
    </row>
    <row r="81" spans="1:5" hidden="1" x14ac:dyDescent="0.25">
      <c r="A81" t="str">
        <f>VLOOKUP(LEFT(B81, 7), '3. Functions'!B:C, 2, FALSE)</f>
        <v>Reward &amp; Progression System</v>
      </c>
      <c r="B81" t="s">
        <v>544</v>
      </c>
      <c r="C81" t="s">
        <v>545</v>
      </c>
      <c r="D81" t="s">
        <v>546</v>
      </c>
      <c r="E81" t="s">
        <v>49</v>
      </c>
    </row>
    <row r="82" spans="1:5" x14ac:dyDescent="0.25">
      <c r="A82" t="str">
        <f>VLOOKUP(LEFT(B82, 7), '3. Functions'!B:C, 2, FALSE)</f>
        <v>Streak Management</v>
      </c>
      <c r="B82" t="s">
        <v>547</v>
      </c>
      <c r="C82" t="s">
        <v>548</v>
      </c>
      <c r="D82" t="s">
        <v>549</v>
      </c>
      <c r="E82" t="s">
        <v>48</v>
      </c>
    </row>
    <row r="83" spans="1:5" x14ac:dyDescent="0.25">
      <c r="A83" t="str">
        <f>VLOOKUP(LEFT(B83, 7), '3. Functions'!B:C, 2, FALSE)</f>
        <v>Streak Management</v>
      </c>
      <c r="B83" t="s">
        <v>550</v>
      </c>
      <c r="C83" t="s">
        <v>551</v>
      </c>
      <c r="D83" t="s">
        <v>552</v>
      </c>
      <c r="E83" t="s">
        <v>48</v>
      </c>
    </row>
    <row r="84" spans="1:5" hidden="1" x14ac:dyDescent="0.25">
      <c r="A84" t="str">
        <f>VLOOKUP(LEFT(B84, 7), '3. Functions'!B:C, 2, FALSE)</f>
        <v>Streak Management</v>
      </c>
      <c r="B84" t="s">
        <v>553</v>
      </c>
      <c r="C84" t="s">
        <v>554</v>
      </c>
      <c r="D84" t="s">
        <v>555</v>
      </c>
      <c r="E84" t="s">
        <v>49</v>
      </c>
    </row>
    <row r="85" spans="1:5" hidden="1" x14ac:dyDescent="0.25">
      <c r="A85" t="str">
        <f>VLOOKUP(LEFT(B85, 7), '3. Functions'!B:C, 2, FALSE)</f>
        <v>Streak Management</v>
      </c>
      <c r="B85" t="s">
        <v>556</v>
      </c>
      <c r="C85" t="s">
        <v>557</v>
      </c>
      <c r="D85" t="s">
        <v>558</v>
      </c>
      <c r="E85" t="s">
        <v>49</v>
      </c>
    </row>
    <row r="86" spans="1:5" hidden="1" x14ac:dyDescent="0.25">
      <c r="A86" t="str">
        <f>VLOOKUP(LEFT(B86, 7), '3. Functions'!B:C, 2, FALSE)</f>
        <v>Streak Management</v>
      </c>
      <c r="B86" t="s">
        <v>559</v>
      </c>
      <c r="C86" t="s">
        <v>560</v>
      </c>
      <c r="D86" t="s">
        <v>561</v>
      </c>
      <c r="E86" t="s">
        <v>49</v>
      </c>
    </row>
    <row r="87" spans="1:5" x14ac:dyDescent="0.25">
      <c r="A87" t="str">
        <f>VLOOKUP(LEFT(B87, 7), '3. Functions'!B:C, 2, FALSE)</f>
        <v>Streak Management</v>
      </c>
      <c r="B87" t="s">
        <v>562</v>
      </c>
      <c r="C87" t="s">
        <v>563</v>
      </c>
      <c r="D87" t="s">
        <v>564</v>
      </c>
      <c r="E87" t="s">
        <v>48</v>
      </c>
    </row>
    <row r="88" spans="1:5" x14ac:dyDescent="0.25">
      <c r="A88" t="str">
        <f>VLOOKUP(LEFT(B88, 7), '3. Functions'!B:C, 2, FALSE)</f>
        <v>Streak Management</v>
      </c>
      <c r="B88" t="s">
        <v>565</v>
      </c>
      <c r="C88" t="s">
        <v>566</v>
      </c>
      <c r="D88" t="s">
        <v>567</v>
      </c>
      <c r="E88" t="s">
        <v>48</v>
      </c>
    </row>
    <row r="89" spans="1:5" x14ac:dyDescent="0.25">
      <c r="A89" t="str">
        <f>VLOOKUP(LEFT(B89, 7), '3. Functions'!B:C, 2, FALSE)</f>
        <v>Hint Management</v>
      </c>
      <c r="B89" t="s">
        <v>568</v>
      </c>
      <c r="C89" t="s">
        <v>569</v>
      </c>
      <c r="D89" t="s">
        <v>570</v>
      </c>
      <c r="E89" t="s">
        <v>48</v>
      </c>
    </row>
    <row r="90" spans="1:5" x14ac:dyDescent="0.25">
      <c r="A90" t="str">
        <f>VLOOKUP(LEFT(B90, 7), '3. Functions'!B:C, 2, FALSE)</f>
        <v>Hint Management</v>
      </c>
      <c r="B90" t="s">
        <v>571</v>
      </c>
      <c r="C90" t="s">
        <v>572</v>
      </c>
      <c r="D90" t="s">
        <v>573</v>
      </c>
      <c r="E90" t="s">
        <v>48</v>
      </c>
    </row>
    <row r="91" spans="1:5" x14ac:dyDescent="0.25">
      <c r="A91" t="str">
        <f>VLOOKUP(LEFT(B91, 7), '3. Functions'!B:C, 2, FALSE)</f>
        <v>Hint Management</v>
      </c>
      <c r="B91" t="s">
        <v>574</v>
      </c>
      <c r="C91" t="s">
        <v>575</v>
      </c>
      <c r="D91" t="s">
        <v>576</v>
      </c>
      <c r="E91" t="s">
        <v>48</v>
      </c>
    </row>
    <row r="92" spans="1:5" x14ac:dyDescent="0.25">
      <c r="A92" t="str">
        <f>VLOOKUP(LEFT(B92, 7), '3. Functions'!B:C, 2, FALSE)</f>
        <v>Hint Management</v>
      </c>
      <c r="B92" t="s">
        <v>577</v>
      </c>
      <c r="C92" t="s">
        <v>578</v>
      </c>
      <c r="D92" t="s">
        <v>579</v>
      </c>
      <c r="E92" t="s">
        <v>48</v>
      </c>
    </row>
    <row r="93" spans="1:5" x14ac:dyDescent="0.25">
      <c r="A93" t="str">
        <f>VLOOKUP(LEFT(B93, 7), '3. Functions'!B:C, 2, FALSE)</f>
        <v>Hint Management</v>
      </c>
      <c r="B93" t="s">
        <v>580</v>
      </c>
      <c r="C93" t="s">
        <v>581</v>
      </c>
      <c r="D93" t="s">
        <v>582</v>
      </c>
      <c r="E93" t="s">
        <v>48</v>
      </c>
    </row>
    <row r="94" spans="1:5" hidden="1" x14ac:dyDescent="0.25">
      <c r="A94" t="str">
        <f>VLOOKUP(LEFT(B94, 7), '3. Functions'!B:C, 2, FALSE)</f>
        <v>Hint Management</v>
      </c>
      <c r="B94" t="s">
        <v>583</v>
      </c>
      <c r="C94" t="s">
        <v>584</v>
      </c>
      <c r="D94" t="s">
        <v>585</v>
      </c>
      <c r="E94" t="s">
        <v>49</v>
      </c>
    </row>
    <row r="95" spans="1:5" hidden="1" x14ac:dyDescent="0.25">
      <c r="A95" t="str">
        <f>VLOOKUP(LEFT(B95, 7), '3. Functions'!B:C, 2, FALSE)</f>
        <v>Hint Management</v>
      </c>
      <c r="B95" t="s">
        <v>586</v>
      </c>
      <c r="C95" t="s">
        <v>587</v>
      </c>
      <c r="D95" t="s">
        <v>588</v>
      </c>
      <c r="E95" t="s">
        <v>49</v>
      </c>
    </row>
    <row r="96" spans="1:5" hidden="1" x14ac:dyDescent="0.25">
      <c r="A96" t="str">
        <f>VLOOKUP(LEFT(B96, 7), '3. Functions'!B:C, 2, FALSE)</f>
        <v>Battle</v>
      </c>
      <c r="B96" t="s">
        <v>382</v>
      </c>
      <c r="C96" t="s">
        <v>127</v>
      </c>
      <c r="D96" t="s">
        <v>66</v>
      </c>
      <c r="E96" t="s">
        <v>49</v>
      </c>
    </row>
    <row r="97" spans="1:5" hidden="1" x14ac:dyDescent="0.25">
      <c r="A97" t="str">
        <f>VLOOKUP(LEFT(B97, 7), '3. Functions'!B:C, 2, FALSE)</f>
        <v>Battle</v>
      </c>
      <c r="B97" t="s">
        <v>383</v>
      </c>
      <c r="C97" t="s">
        <v>128</v>
      </c>
      <c r="D97" t="s">
        <v>67</v>
      </c>
      <c r="E97" t="s">
        <v>49</v>
      </c>
    </row>
    <row r="98" spans="1:5" hidden="1" x14ac:dyDescent="0.25">
      <c r="A98" t="str">
        <f>VLOOKUP(LEFT(B98, 7), '3. Functions'!B:C, 2, FALSE)</f>
        <v>Battle</v>
      </c>
      <c r="B98" t="s">
        <v>384</v>
      </c>
      <c r="C98" t="s">
        <v>129</v>
      </c>
      <c r="D98" t="s">
        <v>68</v>
      </c>
      <c r="E98" t="s">
        <v>49</v>
      </c>
    </row>
    <row r="99" spans="1:5" hidden="1" x14ac:dyDescent="0.25">
      <c r="A99" t="str">
        <f>VLOOKUP(LEFT(B99, 7), '3. Functions'!B:C, 2, FALSE)</f>
        <v>Battle</v>
      </c>
      <c r="B99" t="s">
        <v>385</v>
      </c>
      <c r="C99" t="s">
        <v>130</v>
      </c>
      <c r="D99" t="s">
        <v>69</v>
      </c>
      <c r="E99" t="s">
        <v>49</v>
      </c>
    </row>
    <row r="100" spans="1:5" hidden="1" x14ac:dyDescent="0.25">
      <c r="A100" t="str">
        <f>VLOOKUP(LEFT(B100, 7), '3. Functions'!B:C, 2, FALSE)</f>
        <v>Battle</v>
      </c>
      <c r="B100" t="s">
        <v>386</v>
      </c>
      <c r="C100" t="s">
        <v>131</v>
      </c>
      <c r="D100" t="s">
        <v>70</v>
      </c>
      <c r="E100" t="s">
        <v>49</v>
      </c>
    </row>
    <row r="101" spans="1:5" hidden="1" x14ac:dyDescent="0.25">
      <c r="A101" t="str">
        <f>VLOOKUP(LEFT(B101, 7), '3. Functions'!B:C, 2, FALSE)</f>
        <v>Battle</v>
      </c>
      <c r="B101" t="s">
        <v>387</v>
      </c>
      <c r="C101" t="s">
        <v>132</v>
      </c>
      <c r="D101" t="s">
        <v>71</v>
      </c>
      <c r="E101" t="s">
        <v>49</v>
      </c>
    </row>
    <row r="102" spans="1:5" hidden="1" x14ac:dyDescent="0.25">
      <c r="A102" t="str">
        <f>VLOOKUP(LEFT(B102, 7), '3. Functions'!B:C, 2, FALSE)</f>
        <v>Battle</v>
      </c>
      <c r="B102" t="s">
        <v>388</v>
      </c>
      <c r="C102" t="s">
        <v>133</v>
      </c>
      <c r="D102" t="s">
        <v>72</v>
      </c>
      <c r="E102" t="s">
        <v>49</v>
      </c>
    </row>
    <row r="103" spans="1:5" hidden="1" x14ac:dyDescent="0.25">
      <c r="A103" t="str">
        <f>VLOOKUP(LEFT(B103, 7), '3. Functions'!B:C, 2, FALSE)</f>
        <v>Ranking</v>
      </c>
      <c r="B103" t="s">
        <v>389</v>
      </c>
      <c r="C103" t="s">
        <v>134</v>
      </c>
      <c r="D103" t="s">
        <v>73</v>
      </c>
      <c r="E103" t="s">
        <v>49</v>
      </c>
    </row>
    <row r="104" spans="1:5" hidden="1" x14ac:dyDescent="0.25">
      <c r="A104" t="str">
        <f>VLOOKUP(LEFT(B104, 7), '3. Functions'!B:C, 2, FALSE)</f>
        <v>Ranking</v>
      </c>
      <c r="B104" t="s">
        <v>390</v>
      </c>
      <c r="C104" t="s">
        <v>135</v>
      </c>
      <c r="D104" t="s">
        <v>74</v>
      </c>
      <c r="E104" t="s">
        <v>49</v>
      </c>
    </row>
    <row r="105" spans="1:5" hidden="1" x14ac:dyDescent="0.25">
      <c r="A105" t="str">
        <f>VLOOKUP(LEFT(B105, 7), '3. Functions'!B:C, 2, FALSE)</f>
        <v>Ranking</v>
      </c>
      <c r="B105" t="s">
        <v>391</v>
      </c>
      <c r="C105" t="s">
        <v>136</v>
      </c>
      <c r="D105" t="s">
        <v>75</v>
      </c>
      <c r="E105" t="s">
        <v>49</v>
      </c>
    </row>
    <row r="106" spans="1:5" hidden="1" x14ac:dyDescent="0.25">
      <c r="A106" t="str">
        <f>VLOOKUP(LEFT(B106, 7), '3. Functions'!B:C, 2, FALSE)</f>
        <v>Ranking</v>
      </c>
      <c r="B106" t="s">
        <v>392</v>
      </c>
      <c r="C106" t="s">
        <v>137</v>
      </c>
      <c r="D106" t="s">
        <v>76</v>
      </c>
      <c r="E106" t="s">
        <v>49</v>
      </c>
    </row>
    <row r="107" spans="1:5" hidden="1" x14ac:dyDescent="0.25">
      <c r="A107" t="str">
        <f>VLOOKUP(LEFT(B107, 7), '3. Functions'!B:C, 2, FALSE)</f>
        <v>Ranking</v>
      </c>
      <c r="B107" t="s">
        <v>393</v>
      </c>
      <c r="C107" t="s">
        <v>138</v>
      </c>
      <c r="D107" t="s">
        <v>77</v>
      </c>
      <c r="E107" t="s">
        <v>49</v>
      </c>
    </row>
    <row r="108" spans="1:5" hidden="1" x14ac:dyDescent="0.25">
      <c r="A108" t="str">
        <f>VLOOKUP(LEFT(B108, 7), '3. Functions'!B:C, 2, FALSE)</f>
        <v>Challenge (PvP Custom)</v>
      </c>
      <c r="B108" t="s">
        <v>434</v>
      </c>
      <c r="C108" t="s">
        <v>201</v>
      </c>
      <c r="D108" t="s">
        <v>202</v>
      </c>
      <c r="E108" t="s">
        <v>49</v>
      </c>
    </row>
    <row r="109" spans="1:5" hidden="1" x14ac:dyDescent="0.25">
      <c r="A109" t="str">
        <f>VLOOKUP(LEFT(B109, 7), '3. Functions'!B:C, 2, FALSE)</f>
        <v>Challenge (PvP Custom)</v>
      </c>
      <c r="B109" t="s">
        <v>435</v>
      </c>
      <c r="C109" t="s">
        <v>203</v>
      </c>
      <c r="D109" t="s">
        <v>204</v>
      </c>
      <c r="E109" t="s">
        <v>49</v>
      </c>
    </row>
    <row r="110" spans="1:5" hidden="1" x14ac:dyDescent="0.25">
      <c r="A110" t="str">
        <f>VLOOKUP(LEFT(B110, 7), '3. Functions'!B:C, 2, FALSE)</f>
        <v>Challenge (PvP Custom)</v>
      </c>
      <c r="B110" t="s">
        <v>436</v>
      </c>
      <c r="C110" t="s">
        <v>205</v>
      </c>
      <c r="D110" t="s">
        <v>206</v>
      </c>
      <c r="E110" t="s">
        <v>49</v>
      </c>
    </row>
    <row r="111" spans="1:5" hidden="1" x14ac:dyDescent="0.25">
      <c r="A111" t="str">
        <f>VLOOKUP(LEFT(B111, 7), '3. Functions'!B:C, 2, FALSE)</f>
        <v>Challenge (PvP Custom)</v>
      </c>
      <c r="B111" t="s">
        <v>437</v>
      </c>
      <c r="C111" t="s">
        <v>207</v>
      </c>
      <c r="D111" t="s">
        <v>208</v>
      </c>
      <c r="E111" t="s">
        <v>49</v>
      </c>
    </row>
    <row r="112" spans="1:5" hidden="1" x14ac:dyDescent="0.25">
      <c r="A112" t="str">
        <f>VLOOKUP(LEFT(B112, 7), '3. Functions'!B:C, 2, FALSE)</f>
        <v>Challenge (PvP Custom)</v>
      </c>
      <c r="B112" t="s">
        <v>438</v>
      </c>
      <c r="C112" t="s">
        <v>209</v>
      </c>
      <c r="D112" t="s">
        <v>210</v>
      </c>
      <c r="E112" t="s">
        <v>49</v>
      </c>
    </row>
    <row r="113" spans="1:5" hidden="1" x14ac:dyDescent="0.25">
      <c r="A113" t="str">
        <f>VLOOKUP(LEFT(B113, 7), '3. Functions'!B:C, 2, FALSE)</f>
        <v>Challenge (PvP Custom)</v>
      </c>
      <c r="B113" t="s">
        <v>439</v>
      </c>
      <c r="C113" t="s">
        <v>211</v>
      </c>
      <c r="D113" t="s">
        <v>212</v>
      </c>
      <c r="E113" t="s">
        <v>49</v>
      </c>
    </row>
    <row r="114" spans="1:5" x14ac:dyDescent="0.25">
      <c r="A114" t="str">
        <f>VLOOKUP(LEFT(B114, 7), '3. Functions'!B:C, 2, FALSE)</f>
        <v>Notification Center</v>
      </c>
      <c r="B114" t="s">
        <v>446</v>
      </c>
      <c r="C114" t="s">
        <v>225</v>
      </c>
      <c r="D114" t="s">
        <v>94</v>
      </c>
      <c r="E114" t="s">
        <v>48</v>
      </c>
    </row>
    <row r="115" spans="1:5" x14ac:dyDescent="0.25">
      <c r="A115" t="str">
        <f>VLOOKUP(LEFT(B115, 7), '3. Functions'!B:C, 2, FALSE)</f>
        <v>Notification Center</v>
      </c>
      <c r="B115" t="s">
        <v>447</v>
      </c>
      <c r="C115" t="s">
        <v>226</v>
      </c>
      <c r="D115" t="s">
        <v>95</v>
      </c>
      <c r="E115" t="s">
        <v>48</v>
      </c>
    </row>
    <row r="116" spans="1:5" x14ac:dyDescent="0.25">
      <c r="A116" t="str">
        <f>VLOOKUP(LEFT(B116, 7), '3. Functions'!B:C, 2, FALSE)</f>
        <v>Notification Center</v>
      </c>
      <c r="B116" t="s">
        <v>448</v>
      </c>
      <c r="C116" t="s">
        <v>227</v>
      </c>
      <c r="D116" t="s">
        <v>96</v>
      </c>
      <c r="E116" t="s">
        <v>48</v>
      </c>
    </row>
    <row r="117" spans="1:5" hidden="1" x14ac:dyDescent="0.25">
      <c r="A117" t="str">
        <f>VLOOKUP(LEFT(B117, 7), '3. Functions'!B:C, 2, FALSE)</f>
        <v>Notification Center</v>
      </c>
      <c r="B117" t="s">
        <v>449</v>
      </c>
      <c r="C117" t="s">
        <v>228</v>
      </c>
      <c r="D117" t="s">
        <v>97</v>
      </c>
      <c r="E117" t="s">
        <v>49</v>
      </c>
    </row>
    <row r="118" spans="1:5" hidden="1" x14ac:dyDescent="0.25">
      <c r="A118" t="str">
        <f>VLOOKUP(LEFT(B118, 7), '3. Functions'!B:C, 2, FALSE)</f>
        <v>Friend System</v>
      </c>
      <c r="B118" t="s">
        <v>426</v>
      </c>
      <c r="C118" t="s">
        <v>185</v>
      </c>
      <c r="D118" t="s">
        <v>186</v>
      </c>
      <c r="E118" t="s">
        <v>49</v>
      </c>
    </row>
    <row r="119" spans="1:5" hidden="1" x14ac:dyDescent="0.25">
      <c r="A119" t="str">
        <f>VLOOKUP(LEFT(B119, 7), '3. Functions'!B:C, 2, FALSE)</f>
        <v>Friend System</v>
      </c>
      <c r="B119" t="s">
        <v>427</v>
      </c>
      <c r="C119" t="s">
        <v>187</v>
      </c>
      <c r="D119" t="s">
        <v>188</v>
      </c>
      <c r="E119" t="s">
        <v>49</v>
      </c>
    </row>
    <row r="120" spans="1:5" hidden="1" x14ac:dyDescent="0.25">
      <c r="A120" t="str">
        <f>VLOOKUP(LEFT(B120, 7), '3. Functions'!B:C, 2, FALSE)</f>
        <v>Friend System</v>
      </c>
      <c r="B120" t="s">
        <v>428</v>
      </c>
      <c r="C120" t="s">
        <v>189</v>
      </c>
      <c r="D120" t="s">
        <v>190</v>
      </c>
      <c r="E120" t="s">
        <v>49</v>
      </c>
    </row>
    <row r="121" spans="1:5" hidden="1" x14ac:dyDescent="0.25">
      <c r="A121" t="str">
        <f>VLOOKUP(LEFT(B121, 7), '3. Functions'!B:C, 2, FALSE)</f>
        <v>Friend System</v>
      </c>
      <c r="B121" t="s">
        <v>429</v>
      </c>
      <c r="C121" t="s">
        <v>191</v>
      </c>
      <c r="D121" t="s">
        <v>192</v>
      </c>
      <c r="E121" t="s">
        <v>49</v>
      </c>
    </row>
    <row r="122" spans="1:5" hidden="1" x14ac:dyDescent="0.25">
      <c r="A122" t="str">
        <f>VLOOKUP(LEFT(B122, 7), '3. Functions'!B:C, 2, FALSE)</f>
        <v>Friend System</v>
      </c>
      <c r="B122" t="s">
        <v>430</v>
      </c>
      <c r="C122" t="s">
        <v>193</v>
      </c>
      <c r="D122" t="s">
        <v>194</v>
      </c>
      <c r="E122" t="s">
        <v>49</v>
      </c>
    </row>
    <row r="123" spans="1:5" hidden="1" x14ac:dyDescent="0.25">
      <c r="A123" t="str">
        <f>VLOOKUP(LEFT(B123, 7), '3. Functions'!B:C, 2, FALSE)</f>
        <v>Friend System</v>
      </c>
      <c r="B123" t="s">
        <v>431</v>
      </c>
      <c r="C123" t="s">
        <v>195</v>
      </c>
      <c r="D123" t="s">
        <v>196</v>
      </c>
      <c r="E123" t="s">
        <v>49</v>
      </c>
    </row>
    <row r="124" spans="1:5" hidden="1" x14ac:dyDescent="0.25">
      <c r="A124" t="str">
        <f>VLOOKUP(LEFT(B124, 7), '3. Functions'!B:C, 2, FALSE)</f>
        <v>Friend System</v>
      </c>
      <c r="B124" t="s">
        <v>432</v>
      </c>
      <c r="C124" t="s">
        <v>197</v>
      </c>
      <c r="D124" t="s">
        <v>198</v>
      </c>
      <c r="E124" t="s">
        <v>49</v>
      </c>
    </row>
    <row r="125" spans="1:5" hidden="1" x14ac:dyDescent="0.25">
      <c r="A125" t="str">
        <f>VLOOKUP(LEFT(B125, 7), '3. Functions'!B:C, 2, FALSE)</f>
        <v>Friend System</v>
      </c>
      <c r="B125" t="s">
        <v>433</v>
      </c>
      <c r="C125" t="s">
        <v>199</v>
      </c>
      <c r="D125" t="s">
        <v>200</v>
      </c>
      <c r="E125" t="s">
        <v>49</v>
      </c>
    </row>
    <row r="126" spans="1:5" hidden="1" x14ac:dyDescent="0.25">
      <c r="A126" t="str">
        <f>VLOOKUP(LEFT(B126, 7), '3. Functions'!B:C, 2, FALSE)</f>
        <v>Seasonal Event</v>
      </c>
      <c r="B126" t="s">
        <v>440</v>
      </c>
      <c r="C126" t="s">
        <v>213</v>
      </c>
      <c r="D126" t="s">
        <v>214</v>
      </c>
      <c r="E126" t="s">
        <v>49</v>
      </c>
    </row>
    <row r="127" spans="1:5" hidden="1" x14ac:dyDescent="0.25">
      <c r="A127" t="str">
        <f>VLOOKUP(LEFT(B127, 7), '3. Functions'!B:C, 2, FALSE)</f>
        <v>Seasonal Event</v>
      </c>
      <c r="B127" t="s">
        <v>441</v>
      </c>
      <c r="C127" t="s">
        <v>215</v>
      </c>
      <c r="D127" t="s">
        <v>216</v>
      </c>
      <c r="E127" t="s">
        <v>49</v>
      </c>
    </row>
    <row r="128" spans="1:5" hidden="1" x14ac:dyDescent="0.25">
      <c r="A128" t="str">
        <f>VLOOKUP(LEFT(B128, 7), '3. Functions'!B:C, 2, FALSE)</f>
        <v>Seasonal Event</v>
      </c>
      <c r="B128" t="s">
        <v>442</v>
      </c>
      <c r="C128" t="s">
        <v>217</v>
      </c>
      <c r="D128" t="s">
        <v>218</v>
      </c>
      <c r="E128" t="s">
        <v>49</v>
      </c>
    </row>
    <row r="129" spans="1:5" hidden="1" x14ac:dyDescent="0.25">
      <c r="A129" t="str">
        <f>VLOOKUP(LEFT(B129, 7), '3. Functions'!B:C, 2, FALSE)</f>
        <v>Seasonal Event</v>
      </c>
      <c r="B129" t="s">
        <v>443</v>
      </c>
      <c r="C129" t="s">
        <v>219</v>
      </c>
      <c r="D129" t="s">
        <v>220</v>
      </c>
      <c r="E129" t="s">
        <v>49</v>
      </c>
    </row>
    <row r="130" spans="1:5" hidden="1" x14ac:dyDescent="0.25">
      <c r="A130" t="str">
        <f>VLOOKUP(LEFT(B130, 7), '3. Functions'!B:C, 2, FALSE)</f>
        <v>Seasonal Event</v>
      </c>
      <c r="B130" t="s">
        <v>444</v>
      </c>
      <c r="C130" t="s">
        <v>221</v>
      </c>
      <c r="D130" t="s">
        <v>222</v>
      </c>
      <c r="E130" t="s">
        <v>49</v>
      </c>
    </row>
    <row r="131" spans="1:5" hidden="1" x14ac:dyDescent="0.25">
      <c r="A131" t="str">
        <f>VLOOKUP(LEFT(B131, 7), '3. Functions'!B:C, 2, FALSE)</f>
        <v>Seasonal Event</v>
      </c>
      <c r="B131" t="s">
        <v>445</v>
      </c>
      <c r="C131" t="s">
        <v>223</v>
      </c>
      <c r="D131" t="s">
        <v>224</v>
      </c>
      <c r="E131" t="s">
        <v>49</v>
      </c>
    </row>
    <row r="132" spans="1:5" hidden="1" x14ac:dyDescent="0.25">
      <c r="A132" t="str">
        <f>VLOOKUP(LEFT(B132, 7), '3. Functions'!B:C, 2, FALSE)</f>
        <v>FAQ &amp; Help Center</v>
      </c>
      <c r="B132" t="s">
        <v>481</v>
      </c>
      <c r="C132" t="s">
        <v>280</v>
      </c>
      <c r="D132" t="s">
        <v>281</v>
      </c>
      <c r="E132" t="s">
        <v>49</v>
      </c>
    </row>
    <row r="133" spans="1:5" hidden="1" x14ac:dyDescent="0.25">
      <c r="A133" t="str">
        <f>VLOOKUP(LEFT(B133, 7), '3. Functions'!B:C, 2, FALSE)</f>
        <v>FAQ &amp; Help Center</v>
      </c>
      <c r="B133" t="s">
        <v>482</v>
      </c>
      <c r="C133" t="s">
        <v>282</v>
      </c>
      <c r="D133" t="s">
        <v>283</v>
      </c>
      <c r="E133" t="s">
        <v>49</v>
      </c>
    </row>
    <row r="134" spans="1:5" hidden="1" x14ac:dyDescent="0.25">
      <c r="A134" t="str">
        <f>VLOOKUP(LEFT(B134, 7), '3. Functions'!B:C, 2, FALSE)</f>
        <v>FAQ &amp; Help Center</v>
      </c>
      <c r="B134" t="s">
        <v>483</v>
      </c>
      <c r="C134" t="s">
        <v>284</v>
      </c>
      <c r="D134" t="s">
        <v>285</v>
      </c>
      <c r="E134" t="s">
        <v>49</v>
      </c>
    </row>
    <row r="135" spans="1:5" hidden="1" x14ac:dyDescent="0.25">
      <c r="A135" t="str">
        <f>VLOOKUP(LEFT(B135, 7), '3. Functions'!B:C, 2, FALSE)</f>
        <v>FAQ &amp; Help Center</v>
      </c>
      <c r="B135" t="s">
        <v>484</v>
      </c>
      <c r="C135" t="s">
        <v>286</v>
      </c>
      <c r="D135" t="s">
        <v>287</v>
      </c>
      <c r="E135" t="s">
        <v>49</v>
      </c>
    </row>
    <row r="136" spans="1:5" hidden="1" x14ac:dyDescent="0.25">
      <c r="A136" t="str">
        <f>VLOOKUP(LEFT(B136, 7), '3. Functions'!B:C, 2, FALSE)</f>
        <v>Contact Support</v>
      </c>
      <c r="B136" t="s">
        <v>485</v>
      </c>
      <c r="C136" t="s">
        <v>288</v>
      </c>
      <c r="D136" t="s">
        <v>289</v>
      </c>
      <c r="E136" t="s">
        <v>49</v>
      </c>
    </row>
    <row r="137" spans="1:5" hidden="1" x14ac:dyDescent="0.25">
      <c r="A137" t="str">
        <f>VLOOKUP(LEFT(B137, 7), '3. Functions'!B:C, 2, FALSE)</f>
        <v>Contact Support</v>
      </c>
      <c r="B137" t="s">
        <v>486</v>
      </c>
      <c r="C137" t="s">
        <v>290</v>
      </c>
      <c r="D137" t="s">
        <v>291</v>
      </c>
      <c r="E137" t="s">
        <v>49</v>
      </c>
    </row>
    <row r="138" spans="1:5" hidden="1" x14ac:dyDescent="0.25">
      <c r="A138" t="str">
        <f>VLOOKUP(LEFT(B138, 7), '3. Functions'!B:C, 2, FALSE)</f>
        <v>Contact Support</v>
      </c>
      <c r="B138" t="s">
        <v>487</v>
      </c>
      <c r="C138" t="s">
        <v>292</v>
      </c>
      <c r="D138" t="s">
        <v>293</v>
      </c>
      <c r="E138" t="s">
        <v>49</v>
      </c>
    </row>
    <row r="139" spans="1:5" x14ac:dyDescent="0.25">
      <c r="A139" t="str">
        <f>VLOOKUP(LEFT(B139, 7), '3. Functions'!B:C, 2, FALSE)</f>
        <v>Question Management</v>
      </c>
      <c r="B139" t="s">
        <v>450</v>
      </c>
      <c r="C139" t="s">
        <v>229</v>
      </c>
      <c r="D139" t="s">
        <v>98</v>
      </c>
      <c r="E139" t="s">
        <v>48</v>
      </c>
    </row>
    <row r="140" spans="1:5" x14ac:dyDescent="0.25">
      <c r="A140" t="str">
        <f>VLOOKUP(LEFT(B140, 7), '3. Functions'!B:C, 2, FALSE)</f>
        <v>Question Management</v>
      </c>
      <c r="B140" t="s">
        <v>451</v>
      </c>
      <c r="C140" t="s">
        <v>230</v>
      </c>
      <c r="D140" t="s">
        <v>99</v>
      </c>
      <c r="E140" t="s">
        <v>48</v>
      </c>
    </row>
    <row r="141" spans="1:5" x14ac:dyDescent="0.25">
      <c r="A141" t="str">
        <f>VLOOKUP(LEFT(B141, 7), '3. Functions'!B:C, 2, FALSE)</f>
        <v>Question Management</v>
      </c>
      <c r="B141" t="s">
        <v>452</v>
      </c>
      <c r="C141" t="s">
        <v>231</v>
      </c>
      <c r="D141" t="s">
        <v>100</v>
      </c>
      <c r="E141" t="s">
        <v>48</v>
      </c>
    </row>
    <row r="142" spans="1:5" x14ac:dyDescent="0.25">
      <c r="A142" t="str">
        <f>VLOOKUP(LEFT(B142, 7), '3. Functions'!B:C, 2, FALSE)</f>
        <v>Question Management</v>
      </c>
      <c r="B142" t="s">
        <v>453</v>
      </c>
      <c r="C142" t="s">
        <v>232</v>
      </c>
      <c r="D142" t="s">
        <v>101</v>
      </c>
      <c r="E142" t="s">
        <v>48</v>
      </c>
    </row>
    <row r="143" spans="1:5" x14ac:dyDescent="0.25">
      <c r="A143" t="str">
        <f>VLOOKUP(LEFT(B143, 7), '3. Functions'!B:C, 2, FALSE)</f>
        <v>Question Management</v>
      </c>
      <c r="B143" t="s">
        <v>454</v>
      </c>
      <c r="C143" t="s">
        <v>233</v>
      </c>
      <c r="D143" t="s">
        <v>102</v>
      </c>
      <c r="E143" t="s">
        <v>48</v>
      </c>
    </row>
    <row r="144" spans="1:5" x14ac:dyDescent="0.25">
      <c r="A144" t="str">
        <f>VLOOKUP(LEFT(B144, 7), '3. Functions'!B:C, 2, FALSE)</f>
        <v>Question Management</v>
      </c>
      <c r="B144" t="s">
        <v>455</v>
      </c>
      <c r="C144" t="s">
        <v>234</v>
      </c>
      <c r="D144" t="s">
        <v>103</v>
      </c>
      <c r="E144" t="s">
        <v>48</v>
      </c>
    </row>
    <row r="145" spans="1:5" x14ac:dyDescent="0.25">
      <c r="A145" t="str">
        <f>VLOOKUP(LEFT(B145, 7), '3. Functions'!B:C, 2, FALSE)</f>
        <v>User Management</v>
      </c>
      <c r="B145" t="s">
        <v>456</v>
      </c>
      <c r="C145" t="s">
        <v>235</v>
      </c>
      <c r="D145" t="s">
        <v>236</v>
      </c>
      <c r="E145" t="s">
        <v>48</v>
      </c>
    </row>
    <row r="146" spans="1:5" hidden="1" x14ac:dyDescent="0.25">
      <c r="A146" t="str">
        <f>VLOOKUP(LEFT(B146, 7), '3. Functions'!B:C, 2, FALSE)</f>
        <v>User Management</v>
      </c>
      <c r="B146" t="s">
        <v>457</v>
      </c>
      <c r="C146" t="s">
        <v>237</v>
      </c>
      <c r="D146" t="s">
        <v>238</v>
      </c>
      <c r="E146" t="s">
        <v>49</v>
      </c>
    </row>
    <row r="147" spans="1:5" hidden="1" x14ac:dyDescent="0.25">
      <c r="A147" t="str">
        <f>VLOOKUP(LEFT(B147, 7), '3. Functions'!B:C, 2, FALSE)</f>
        <v>User Management</v>
      </c>
      <c r="B147" t="s">
        <v>458</v>
      </c>
      <c r="C147" t="s">
        <v>239</v>
      </c>
      <c r="D147" t="s">
        <v>240</v>
      </c>
      <c r="E147" t="s">
        <v>49</v>
      </c>
    </row>
    <row r="148" spans="1:5" hidden="1" x14ac:dyDescent="0.25">
      <c r="A148" t="str">
        <f>VLOOKUP(LEFT(B148, 7), '3. Functions'!B:C, 2, FALSE)</f>
        <v>User Management</v>
      </c>
      <c r="B148" t="s">
        <v>459</v>
      </c>
      <c r="C148" t="s">
        <v>241</v>
      </c>
      <c r="D148" t="s">
        <v>242</v>
      </c>
      <c r="E148" t="s">
        <v>49</v>
      </c>
    </row>
    <row r="149" spans="1:5" x14ac:dyDescent="0.25">
      <c r="A149" t="str">
        <f>VLOOKUP(LEFT(B149, 7), '3. Functions'!B:C, 2, FALSE)</f>
        <v>User Management</v>
      </c>
      <c r="B149" t="s">
        <v>460</v>
      </c>
      <c r="C149" t="s">
        <v>243</v>
      </c>
      <c r="D149" t="s">
        <v>244</v>
      </c>
      <c r="E149" t="s">
        <v>48</v>
      </c>
    </row>
    <row r="150" spans="1:5" hidden="1" x14ac:dyDescent="0.25">
      <c r="A150" t="str">
        <f>VLOOKUP(LEFT(B150, 7), '3. Functions'!B:C, 2, FALSE)</f>
        <v>User Management</v>
      </c>
      <c r="B150" t="s">
        <v>461</v>
      </c>
      <c r="C150" t="s">
        <v>245</v>
      </c>
      <c r="D150" t="s">
        <v>246</v>
      </c>
      <c r="E150" t="s">
        <v>49</v>
      </c>
    </row>
    <row r="151" spans="1:5" hidden="1" x14ac:dyDescent="0.25">
      <c r="A151" t="str">
        <f>VLOOKUP(LEFT(B151, 7), '3. Functions'!B:C, 2, FALSE)</f>
        <v>Report &amp; Moderation</v>
      </c>
      <c r="B151" t="s">
        <v>462</v>
      </c>
      <c r="C151" t="s">
        <v>247</v>
      </c>
      <c r="D151" t="s">
        <v>248</v>
      </c>
      <c r="E151" t="s">
        <v>49</v>
      </c>
    </row>
    <row r="152" spans="1:5" hidden="1" x14ac:dyDescent="0.25">
      <c r="A152" t="str">
        <f>VLOOKUP(LEFT(B152, 7), '3. Functions'!B:C, 2, FALSE)</f>
        <v>Report &amp; Moderation</v>
      </c>
      <c r="B152" t="s">
        <v>463</v>
      </c>
      <c r="C152" t="s">
        <v>249</v>
      </c>
      <c r="D152" t="s">
        <v>250</v>
      </c>
      <c r="E152" t="s">
        <v>49</v>
      </c>
    </row>
    <row r="153" spans="1:5" hidden="1" x14ac:dyDescent="0.25">
      <c r="A153" t="str">
        <f>VLOOKUP(LEFT(B153, 7), '3. Functions'!B:C, 2, FALSE)</f>
        <v>Report &amp; Moderation</v>
      </c>
      <c r="B153" t="s">
        <v>464</v>
      </c>
      <c r="C153" t="s">
        <v>251</v>
      </c>
      <c r="D153" t="s">
        <v>252</v>
      </c>
      <c r="E153" t="s">
        <v>49</v>
      </c>
    </row>
    <row r="154" spans="1:5" hidden="1" x14ac:dyDescent="0.25">
      <c r="A154" t="str">
        <f>VLOOKUP(LEFT(B154, 7), '3. Functions'!B:C, 2, FALSE)</f>
        <v>Report &amp; Moderation</v>
      </c>
      <c r="B154" t="s">
        <v>465</v>
      </c>
      <c r="C154" t="s">
        <v>253</v>
      </c>
      <c r="D154" t="s">
        <v>254</v>
      </c>
      <c r="E154" t="s">
        <v>49</v>
      </c>
    </row>
    <row r="155" spans="1:5" hidden="1" x14ac:dyDescent="0.25">
      <c r="A155" t="str">
        <f>VLOOKUP(LEFT(B155, 7), '3. Functions'!B:C, 2, FALSE)</f>
        <v>Report &amp; Moderation</v>
      </c>
      <c r="B155" t="s">
        <v>466</v>
      </c>
      <c r="C155" t="s">
        <v>255</v>
      </c>
      <c r="D155" t="s">
        <v>256</v>
      </c>
      <c r="E155" t="s">
        <v>49</v>
      </c>
    </row>
    <row r="156" spans="1:5" hidden="1" x14ac:dyDescent="0.25">
      <c r="A156" t="str">
        <f>VLOOKUP(LEFT(B156, 7), '3. Functions'!B:C, 2, FALSE)</f>
        <v>Report &amp; Moderation</v>
      </c>
      <c r="B156" t="s">
        <v>467</v>
      </c>
      <c r="C156" t="s">
        <v>257</v>
      </c>
      <c r="D156" t="s">
        <v>258</v>
      </c>
      <c r="E156" t="s">
        <v>49</v>
      </c>
    </row>
  </sheetData>
  <autoFilter ref="A1:E156" xr:uid="{750D8B2D-69D7-46E9-BCF5-53D426C2CF4D}">
    <filterColumn colId="4">
      <filters>
        <filter val="Yes"/>
      </filters>
    </filterColumn>
    <sortState xmlns:xlrd2="http://schemas.microsoft.com/office/spreadsheetml/2017/richdata2" ref="A2:E152">
      <sortCondition ref="B1"/>
    </sortState>
  </autoFilter>
  <phoneticPr fontId="1" type="noConversion"/>
  <dataValidations count="1">
    <dataValidation type="list" allowBlank="1" showInputMessage="1" showErrorMessage="1" sqref="E1:E1048576" xr:uid="{A583AF28-9FCA-458F-BD2F-FAB0E28D54B6}">
      <formula1>"Yes, No"</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682C5-3262-42F0-9432-C31ED3CB454E}">
  <dimension ref="A1:H28"/>
  <sheetViews>
    <sheetView workbookViewId="0">
      <selection activeCell="E11" sqref="E11"/>
    </sheetView>
  </sheetViews>
  <sheetFormatPr defaultRowHeight="15" x14ac:dyDescent="0.25"/>
  <cols>
    <col min="1" max="1" width="11" bestFit="1" customWidth="1"/>
    <col min="2" max="2" width="28.28515625" bestFit="1" customWidth="1"/>
    <col min="3" max="3" width="11.140625" style="3" bestFit="1" customWidth="1"/>
    <col min="4" max="4" width="16" style="3" bestFit="1" customWidth="1"/>
    <col min="5" max="5" width="20.28515625" style="3" bestFit="1" customWidth="1"/>
    <col min="6" max="6" width="11.85546875" style="3" bestFit="1" customWidth="1"/>
    <col min="7" max="7" width="19.140625" style="3" bestFit="1" customWidth="1"/>
    <col min="8" max="8" width="15.5703125" style="3" bestFit="1" customWidth="1"/>
  </cols>
  <sheetData>
    <row r="1" spans="1:8" x14ac:dyDescent="0.25">
      <c r="A1" t="s">
        <v>16</v>
      </c>
      <c r="B1" t="s">
        <v>323</v>
      </c>
      <c r="C1" s="3" t="s">
        <v>619</v>
      </c>
      <c r="D1" s="3" t="s">
        <v>620</v>
      </c>
      <c r="E1" s="3" t="s">
        <v>621</v>
      </c>
      <c r="F1" s="3" t="s">
        <v>622</v>
      </c>
      <c r="G1" s="3" t="s">
        <v>623</v>
      </c>
      <c r="H1" s="3" t="s">
        <v>624</v>
      </c>
    </row>
    <row r="2" spans="1:8" x14ac:dyDescent="0.25">
      <c r="A2" t="s">
        <v>336</v>
      </c>
      <c r="B2" t="s">
        <v>23</v>
      </c>
      <c r="C2" s="3" t="s">
        <v>626</v>
      </c>
      <c r="D2" s="3" t="s">
        <v>626</v>
      </c>
      <c r="E2" s="3" t="s">
        <v>626</v>
      </c>
      <c r="F2" s="3" t="s">
        <v>625</v>
      </c>
      <c r="G2" s="3" t="s">
        <v>625</v>
      </c>
      <c r="H2" s="3" t="s">
        <v>625</v>
      </c>
    </row>
    <row r="3" spans="1:8" x14ac:dyDescent="0.25">
      <c r="A3" t="s">
        <v>337</v>
      </c>
      <c r="B3" t="s">
        <v>24</v>
      </c>
      <c r="C3" s="3" t="s">
        <v>626</v>
      </c>
      <c r="D3" s="3" t="s">
        <v>626</v>
      </c>
      <c r="E3" s="3" t="s">
        <v>626</v>
      </c>
      <c r="F3" s="3" t="s">
        <v>625</v>
      </c>
      <c r="G3" s="3" t="s">
        <v>625</v>
      </c>
      <c r="H3" s="3" t="s">
        <v>625</v>
      </c>
    </row>
    <row r="4" spans="1:8" x14ac:dyDescent="0.25">
      <c r="A4" t="s">
        <v>338</v>
      </c>
      <c r="B4" t="s">
        <v>18</v>
      </c>
      <c r="C4" s="3" t="s">
        <v>626</v>
      </c>
      <c r="D4" s="3" t="s">
        <v>626</v>
      </c>
      <c r="E4" s="3" t="s">
        <v>626</v>
      </c>
      <c r="F4" s="3" t="s">
        <v>625</v>
      </c>
      <c r="G4" s="3" t="s">
        <v>625</v>
      </c>
      <c r="H4" s="3" t="s">
        <v>625</v>
      </c>
    </row>
    <row r="5" spans="1:8" x14ac:dyDescent="0.25">
      <c r="A5" t="s">
        <v>339</v>
      </c>
      <c r="B5" t="s">
        <v>19</v>
      </c>
      <c r="C5" s="3" t="s">
        <v>626</v>
      </c>
      <c r="D5" s="3" t="s">
        <v>626</v>
      </c>
      <c r="E5" s="3" t="s">
        <v>626</v>
      </c>
      <c r="F5" s="3" t="s">
        <v>625</v>
      </c>
      <c r="G5" s="3" t="s">
        <v>625</v>
      </c>
      <c r="H5" s="3" t="s">
        <v>625</v>
      </c>
    </row>
    <row r="6" spans="1:8" x14ac:dyDescent="0.25">
      <c r="A6" t="s">
        <v>340</v>
      </c>
      <c r="B6" t="s">
        <v>20</v>
      </c>
      <c r="C6" s="3" t="s">
        <v>626</v>
      </c>
      <c r="D6" s="3" t="s">
        <v>626</v>
      </c>
      <c r="E6" s="3" t="s">
        <v>626</v>
      </c>
      <c r="F6" s="3" t="s">
        <v>625</v>
      </c>
      <c r="G6" s="3" t="s">
        <v>625</v>
      </c>
      <c r="H6" s="3" t="s">
        <v>625</v>
      </c>
    </row>
    <row r="7" spans="1:8" x14ac:dyDescent="0.25">
      <c r="A7" t="s">
        <v>591</v>
      </c>
      <c r="B7" t="s">
        <v>592</v>
      </c>
      <c r="C7" s="3" t="s">
        <v>626</v>
      </c>
      <c r="D7" s="3" t="s">
        <v>626</v>
      </c>
      <c r="E7" s="3" t="s">
        <v>626</v>
      </c>
      <c r="F7" s="3" t="s">
        <v>625</v>
      </c>
      <c r="G7" s="3" t="s">
        <v>625</v>
      </c>
      <c r="H7" s="3" t="s">
        <v>625</v>
      </c>
    </row>
    <row r="8" spans="1:8" x14ac:dyDescent="0.25">
      <c r="A8" t="s">
        <v>344</v>
      </c>
      <c r="B8" t="s">
        <v>25</v>
      </c>
      <c r="C8" s="3" t="s">
        <v>625</v>
      </c>
      <c r="D8" s="3" t="s">
        <v>626</v>
      </c>
      <c r="E8" s="3" t="s">
        <v>626</v>
      </c>
      <c r="F8" s="3" t="s">
        <v>625</v>
      </c>
      <c r="G8" s="3" t="s">
        <v>625</v>
      </c>
      <c r="H8" s="3" t="s">
        <v>625</v>
      </c>
    </row>
    <row r="9" spans="1:8" x14ac:dyDescent="0.25">
      <c r="A9" t="s">
        <v>345</v>
      </c>
      <c r="B9" t="s">
        <v>26</v>
      </c>
      <c r="C9" s="3" t="s">
        <v>625</v>
      </c>
      <c r="D9" s="3" t="s">
        <v>626</v>
      </c>
      <c r="E9" s="3" t="s">
        <v>626</v>
      </c>
      <c r="F9" s="3" t="s">
        <v>626</v>
      </c>
      <c r="G9" s="3" t="s">
        <v>625</v>
      </c>
      <c r="H9" s="3" t="s">
        <v>625</v>
      </c>
    </row>
    <row r="10" spans="1:8" x14ac:dyDescent="0.25">
      <c r="A10" t="s">
        <v>346</v>
      </c>
      <c r="B10" t="s">
        <v>27</v>
      </c>
      <c r="C10" s="3" t="s">
        <v>625</v>
      </c>
      <c r="D10" s="3" t="s">
        <v>626</v>
      </c>
      <c r="E10" s="3" t="s">
        <v>626</v>
      </c>
      <c r="F10" s="3" t="s">
        <v>625</v>
      </c>
      <c r="G10" s="3" t="s">
        <v>625</v>
      </c>
      <c r="H10" s="3" t="s">
        <v>625</v>
      </c>
    </row>
    <row r="11" spans="1:8" x14ac:dyDescent="0.25">
      <c r="A11" t="s">
        <v>356</v>
      </c>
      <c r="B11" t="s">
        <v>43</v>
      </c>
      <c r="C11" s="3" t="s">
        <v>626</v>
      </c>
      <c r="D11" s="3" t="s">
        <v>626</v>
      </c>
      <c r="E11" s="3" t="s">
        <v>626</v>
      </c>
      <c r="F11" s="3" t="s">
        <v>625</v>
      </c>
      <c r="G11" s="3" t="s">
        <v>625</v>
      </c>
      <c r="H11" s="3" t="s">
        <v>625</v>
      </c>
    </row>
    <row r="12" spans="1:8" x14ac:dyDescent="0.25">
      <c r="A12" t="s">
        <v>357</v>
      </c>
      <c r="B12" t="s">
        <v>44</v>
      </c>
      <c r="C12" s="3" t="s">
        <v>625</v>
      </c>
      <c r="D12" s="3" t="s">
        <v>626</v>
      </c>
      <c r="E12" s="3" t="s">
        <v>626</v>
      </c>
      <c r="F12" s="3" t="s">
        <v>625</v>
      </c>
      <c r="G12" s="3" t="s">
        <v>625</v>
      </c>
      <c r="H12" s="3" t="s">
        <v>625</v>
      </c>
    </row>
    <row r="13" spans="1:8" x14ac:dyDescent="0.25">
      <c r="A13" t="s">
        <v>358</v>
      </c>
      <c r="B13" t="s">
        <v>47</v>
      </c>
      <c r="C13" s="3" t="s">
        <v>626</v>
      </c>
      <c r="D13" s="3" t="s">
        <v>626</v>
      </c>
      <c r="E13" s="3" t="s">
        <v>626</v>
      </c>
      <c r="F13" s="3" t="s">
        <v>626</v>
      </c>
      <c r="G13" s="3" t="s">
        <v>626</v>
      </c>
      <c r="H13" s="3" t="s">
        <v>626</v>
      </c>
    </row>
    <row r="14" spans="1:8" x14ac:dyDescent="0.25">
      <c r="A14" t="s">
        <v>355</v>
      </c>
      <c r="B14" t="s">
        <v>35</v>
      </c>
      <c r="C14" s="3" t="s">
        <v>625</v>
      </c>
      <c r="D14" s="3" t="s">
        <v>625</v>
      </c>
      <c r="E14" s="3" t="s">
        <v>625</v>
      </c>
      <c r="F14" s="3" t="s">
        <v>626</v>
      </c>
      <c r="G14" s="8" t="s">
        <v>625</v>
      </c>
      <c r="H14" s="8" t="s">
        <v>625</v>
      </c>
    </row>
    <row r="15" spans="1:8" x14ac:dyDescent="0.25">
      <c r="A15" t="s">
        <v>491</v>
      </c>
      <c r="B15" t="s">
        <v>508</v>
      </c>
      <c r="C15" s="3" t="s">
        <v>625</v>
      </c>
      <c r="D15" s="3" t="s">
        <v>626</v>
      </c>
      <c r="E15" s="3" t="s">
        <v>626</v>
      </c>
      <c r="F15" s="3" t="s">
        <v>626</v>
      </c>
      <c r="G15" s="3" t="s">
        <v>625</v>
      </c>
      <c r="H15" s="3" t="s">
        <v>625</v>
      </c>
    </row>
    <row r="16" spans="1:8" x14ac:dyDescent="0.25">
      <c r="A16" t="s">
        <v>510</v>
      </c>
      <c r="B16" t="s">
        <v>512</v>
      </c>
      <c r="C16" s="3" t="s">
        <v>625</v>
      </c>
      <c r="D16" s="3" t="s">
        <v>626</v>
      </c>
      <c r="E16" s="3" t="s">
        <v>626</v>
      </c>
      <c r="F16" s="3" t="s">
        <v>626</v>
      </c>
      <c r="G16" s="3" t="s">
        <v>625</v>
      </c>
      <c r="H16" s="3" t="s">
        <v>625</v>
      </c>
    </row>
    <row r="17" spans="1:8" x14ac:dyDescent="0.25">
      <c r="A17" t="s">
        <v>511</v>
      </c>
      <c r="B17" t="s">
        <v>514</v>
      </c>
      <c r="C17" s="3" t="s">
        <v>625</v>
      </c>
      <c r="D17" s="3" t="s">
        <v>626</v>
      </c>
      <c r="E17" s="3" t="s">
        <v>626</v>
      </c>
      <c r="F17" s="3" t="s">
        <v>626</v>
      </c>
      <c r="G17" s="3" t="s">
        <v>625</v>
      </c>
      <c r="H17" s="3" t="s">
        <v>625</v>
      </c>
    </row>
    <row r="18" spans="1:8" x14ac:dyDescent="0.25">
      <c r="A18" t="s">
        <v>342</v>
      </c>
      <c r="B18" t="s">
        <v>21</v>
      </c>
      <c r="C18" s="3" t="s">
        <v>625</v>
      </c>
      <c r="D18" s="3" t="s">
        <v>626</v>
      </c>
      <c r="E18" s="3" t="s">
        <v>626</v>
      </c>
      <c r="F18" s="3" t="s">
        <v>625</v>
      </c>
      <c r="G18" s="3" t="s">
        <v>625</v>
      </c>
      <c r="H18" s="3" t="s">
        <v>625</v>
      </c>
    </row>
    <row r="19" spans="1:8" x14ac:dyDescent="0.25">
      <c r="A19" t="s">
        <v>343</v>
      </c>
      <c r="B19" t="s">
        <v>22</v>
      </c>
      <c r="C19" s="3" t="s">
        <v>626</v>
      </c>
      <c r="D19" s="3" t="s">
        <v>626</v>
      </c>
      <c r="E19" s="3" t="s">
        <v>626</v>
      </c>
      <c r="F19" s="3" t="s">
        <v>626</v>
      </c>
      <c r="G19" s="3" t="s">
        <v>626</v>
      </c>
      <c r="H19" s="3" t="s">
        <v>626</v>
      </c>
    </row>
    <row r="20" spans="1:8" x14ac:dyDescent="0.25">
      <c r="A20" t="s">
        <v>348</v>
      </c>
      <c r="B20" t="s">
        <v>29</v>
      </c>
      <c r="C20" s="3" t="s">
        <v>625</v>
      </c>
      <c r="D20" s="3" t="s">
        <v>626</v>
      </c>
      <c r="E20" s="3" t="s">
        <v>626</v>
      </c>
      <c r="F20" s="3" t="s">
        <v>625</v>
      </c>
      <c r="G20" s="3" t="s">
        <v>625</v>
      </c>
      <c r="H20" s="3" t="s">
        <v>625</v>
      </c>
    </row>
    <row r="21" spans="1:8" x14ac:dyDescent="0.25">
      <c r="A21" t="s">
        <v>351</v>
      </c>
      <c r="B21" t="s">
        <v>31</v>
      </c>
      <c r="C21" s="3" t="s">
        <v>626</v>
      </c>
      <c r="D21" s="3" t="s">
        <v>626</v>
      </c>
      <c r="E21" s="3" t="s">
        <v>626</v>
      </c>
      <c r="F21" s="3" t="s">
        <v>626</v>
      </c>
      <c r="G21" s="3" t="s">
        <v>625</v>
      </c>
      <c r="H21" s="3" t="s">
        <v>626</v>
      </c>
    </row>
    <row r="22" spans="1:8" x14ac:dyDescent="0.25">
      <c r="A22" t="s">
        <v>347</v>
      </c>
      <c r="B22" t="s">
        <v>28</v>
      </c>
      <c r="C22" s="3" t="s">
        <v>625</v>
      </c>
      <c r="D22" s="3" t="s">
        <v>626</v>
      </c>
      <c r="E22" s="3" t="s">
        <v>626</v>
      </c>
      <c r="F22" s="3" t="s">
        <v>625</v>
      </c>
      <c r="G22" s="3" t="s">
        <v>625</v>
      </c>
      <c r="H22" s="3" t="s">
        <v>625</v>
      </c>
    </row>
    <row r="23" spans="1:8" x14ac:dyDescent="0.25">
      <c r="A23" t="s">
        <v>349</v>
      </c>
      <c r="B23" t="s">
        <v>30</v>
      </c>
      <c r="C23" s="3" t="s">
        <v>626</v>
      </c>
      <c r="D23" s="3" t="s">
        <v>626</v>
      </c>
      <c r="E23" s="3" t="s">
        <v>626</v>
      </c>
      <c r="F23" s="3" t="s">
        <v>625</v>
      </c>
      <c r="G23" s="3" t="s">
        <v>625</v>
      </c>
      <c r="H23" s="3" t="s">
        <v>625</v>
      </c>
    </row>
    <row r="24" spans="1:8" x14ac:dyDescent="0.25">
      <c r="A24" t="s">
        <v>350</v>
      </c>
      <c r="B24" t="s">
        <v>45</v>
      </c>
      <c r="C24" s="3" t="s">
        <v>626</v>
      </c>
      <c r="D24" s="3" t="s">
        <v>626</v>
      </c>
      <c r="E24" s="3" t="s">
        <v>626</v>
      </c>
      <c r="F24" s="3" t="s">
        <v>626</v>
      </c>
      <c r="G24" s="3" t="s">
        <v>626</v>
      </c>
      <c r="H24" s="3" t="s">
        <v>626</v>
      </c>
    </row>
    <row r="25" spans="1:8" x14ac:dyDescent="0.25">
      <c r="A25" t="s">
        <v>359</v>
      </c>
      <c r="B25" t="s">
        <v>46</v>
      </c>
      <c r="C25" s="3" t="s">
        <v>626</v>
      </c>
      <c r="D25" s="3" t="s">
        <v>626</v>
      </c>
      <c r="E25" s="3" t="s">
        <v>626</v>
      </c>
      <c r="F25" s="3" t="s">
        <v>626</v>
      </c>
      <c r="G25" s="3" t="s">
        <v>625</v>
      </c>
      <c r="H25" s="3" t="s">
        <v>626</v>
      </c>
    </row>
    <row r="26" spans="1:8" x14ac:dyDescent="0.25">
      <c r="A26" t="s">
        <v>352</v>
      </c>
      <c r="B26" t="s">
        <v>32</v>
      </c>
      <c r="C26" s="3" t="s">
        <v>625</v>
      </c>
      <c r="D26" s="3" t="s">
        <v>625</v>
      </c>
      <c r="E26" s="3" t="s">
        <v>625</v>
      </c>
      <c r="F26" s="3" t="s">
        <v>626</v>
      </c>
      <c r="G26" s="3" t="s">
        <v>626</v>
      </c>
      <c r="H26" s="3" t="s">
        <v>626</v>
      </c>
    </row>
    <row r="27" spans="1:8" x14ac:dyDescent="0.25">
      <c r="A27" t="s">
        <v>353</v>
      </c>
      <c r="B27" t="s">
        <v>33</v>
      </c>
      <c r="C27" s="3" t="s">
        <v>625</v>
      </c>
      <c r="D27" s="3" t="s">
        <v>625</v>
      </c>
      <c r="E27" s="3" t="s">
        <v>625</v>
      </c>
      <c r="F27" s="3" t="s">
        <v>626</v>
      </c>
      <c r="G27" s="3" t="s">
        <v>625</v>
      </c>
      <c r="H27" s="3" t="s">
        <v>626</v>
      </c>
    </row>
    <row r="28" spans="1:8" x14ac:dyDescent="0.25">
      <c r="A28" t="s">
        <v>354</v>
      </c>
      <c r="B28" t="s">
        <v>34</v>
      </c>
      <c r="C28" s="8" t="s">
        <v>626</v>
      </c>
      <c r="D28" s="8" t="s">
        <v>626</v>
      </c>
      <c r="E28" s="8" t="s">
        <v>626</v>
      </c>
      <c r="F28" s="8" t="s">
        <v>626</v>
      </c>
      <c r="G28" s="8" t="s">
        <v>626</v>
      </c>
      <c r="H28" s="3" t="s">
        <v>626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Roles</vt:lpstr>
      <vt:lpstr>2. Function Groups</vt:lpstr>
      <vt:lpstr>3. Functions</vt:lpstr>
      <vt:lpstr>4. Sub-Functions</vt:lpstr>
      <vt:lpstr>5. Matrix Role-Function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hai.mda01@gmail.com</cp:lastModifiedBy>
  <dcterms:created xsi:type="dcterms:W3CDTF">2026-04-29T17:40:54Z</dcterms:created>
  <dcterms:modified xsi:type="dcterms:W3CDTF">2026-05-04T16:10:15Z</dcterms:modified>
</cp:coreProperties>
</file>